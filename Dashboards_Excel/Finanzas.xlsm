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ursos dashboard\Dashboards_CursoExcel\"/>
    </mc:Choice>
  </mc:AlternateContent>
  <xr:revisionPtr revIDLastSave="0" documentId="13_ncr:1_{28C7B899-F9E4-469B-8119-54B93E20A558}" xr6:coauthVersionLast="47" xr6:coauthVersionMax="47" xr10:uidLastSave="{00000000-0000-0000-0000-000000000000}"/>
  <bookViews>
    <workbookView xWindow="-120" yWindow="-120" windowWidth="29040" windowHeight="15840" activeTab="2" xr2:uid="{8324224D-A630-4C23-B790-3FD17F376FA2}"/>
  </bookViews>
  <sheets>
    <sheet name="Dataset" sheetId="1" r:id="rId1"/>
    <sheet name="Analisis" sheetId="3" r:id="rId2"/>
    <sheet name="dashboard" sheetId="2" r:id="rId3"/>
  </sheets>
  <definedNames>
    <definedName name="_xlchart.v5.0" hidden="1">Analisis!$G$5:$G$13</definedName>
    <definedName name="_xlchart.v5.1" hidden="1">Analisis!$H$4</definedName>
    <definedName name="_xlchart.v5.2" hidden="1">Analisis!$H$5:$H$13</definedName>
    <definedName name="SegmentaciónDeDatos_Category">#N/A</definedName>
    <definedName name="SegmentaciónDeDatos_NumeroMes">#N/A</definedName>
  </definedNames>
  <calcPr calcId="191029"/>
  <pivotCaches>
    <pivotCache cacheId="1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5" i="3" l="1"/>
  <c r="AP6" i="3"/>
  <c r="AP7" i="3"/>
  <c r="AP8" i="3"/>
  <c r="AP9" i="3"/>
  <c r="AP10" i="3"/>
  <c r="AP11" i="3"/>
  <c r="AP12" i="3"/>
  <c r="AP13" i="3"/>
  <c r="AP14" i="3"/>
  <c r="AP4" i="3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AW6" i="3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E6" i="3"/>
  <c r="E5" i="3"/>
</calcChain>
</file>

<file path=xl/sharedStrings.xml><?xml version="1.0" encoding="utf-8"?>
<sst xmlns="http://schemas.openxmlformats.org/spreadsheetml/2006/main" count="2072" uniqueCount="99">
  <si>
    <t>Date</t>
  </si>
  <si>
    <t>Description</t>
  </si>
  <si>
    <t>Debit</t>
  </si>
  <si>
    <t>Credit</t>
  </si>
  <si>
    <t>Sub-category</t>
  </si>
  <si>
    <t>Category</t>
  </si>
  <si>
    <t>Category Type</t>
  </si>
  <si>
    <t>Data With Decision</t>
  </si>
  <si>
    <t>Data with Decision</t>
  </si>
  <si>
    <t>Income</t>
  </si>
  <si>
    <t>Drink</t>
  </si>
  <si>
    <t>Coffee</t>
  </si>
  <si>
    <t>Expense</t>
  </si>
  <si>
    <t>Estate Mangement</t>
  </si>
  <si>
    <t>Rent</t>
  </si>
  <si>
    <t>Financail upgrade</t>
  </si>
  <si>
    <t>Cash loan</t>
  </si>
  <si>
    <t>Green's</t>
  </si>
  <si>
    <t>Groceries</t>
  </si>
  <si>
    <t>Power source</t>
  </si>
  <si>
    <t>Gas/Electrics</t>
  </si>
  <si>
    <t>Fuel</t>
  </si>
  <si>
    <t>Cinemas</t>
  </si>
  <si>
    <t>Entertainment</t>
  </si>
  <si>
    <t>Fashionistas</t>
  </si>
  <si>
    <t>Clothes</t>
  </si>
  <si>
    <t>Burger</t>
  </si>
  <si>
    <t>Restaurant</t>
  </si>
  <si>
    <t>Uba</t>
  </si>
  <si>
    <t>Taxi</t>
  </si>
  <si>
    <t>Onlne earning</t>
  </si>
  <si>
    <t>YouTube</t>
  </si>
  <si>
    <t>Teachable</t>
  </si>
  <si>
    <t>Phone</t>
  </si>
  <si>
    <t>Sallah give away</t>
  </si>
  <si>
    <t>Gifts</t>
  </si>
  <si>
    <t>Online streaming</t>
  </si>
  <si>
    <t>Suya</t>
  </si>
  <si>
    <t>Oha soup/White soup</t>
  </si>
  <si>
    <t>Orphanage</t>
  </si>
  <si>
    <t>Donation</t>
  </si>
  <si>
    <t>Trainers</t>
  </si>
  <si>
    <t>Hangingout/Ticket</t>
  </si>
  <si>
    <t>Global Fashion</t>
  </si>
  <si>
    <t>Taken medication</t>
  </si>
  <si>
    <t>Doctor</t>
  </si>
  <si>
    <t>Sport ware</t>
  </si>
  <si>
    <t>Foodary</t>
  </si>
  <si>
    <t>Clubing</t>
  </si>
  <si>
    <t>Home décor</t>
  </si>
  <si>
    <t>Furnishings</t>
  </si>
  <si>
    <t>Feedings</t>
  </si>
  <si>
    <t>Etiquetas de fila</t>
  </si>
  <si>
    <t>Total general</t>
  </si>
  <si>
    <t>Amount</t>
  </si>
  <si>
    <t>Suma de Amount</t>
  </si>
  <si>
    <t>Suma de Debit</t>
  </si>
  <si>
    <t>Suma de Credit</t>
  </si>
  <si>
    <t>Mes</t>
  </si>
  <si>
    <t>Dia</t>
  </si>
  <si>
    <t>DWD</t>
  </si>
  <si>
    <t>miércoles</t>
  </si>
  <si>
    <t>jueves</t>
  </si>
  <si>
    <t>viernes</t>
  </si>
  <si>
    <t>sábado</t>
  </si>
  <si>
    <t>domingo</t>
  </si>
  <si>
    <t>lunes</t>
  </si>
  <si>
    <t>martes</t>
  </si>
  <si>
    <t>Etiquetas de columna</t>
  </si>
  <si>
    <t>KPI en cartas</t>
  </si>
  <si>
    <t>Gastos</t>
  </si>
  <si>
    <t>NumeroMes</t>
  </si>
  <si>
    <t>selected month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</si>
  <si>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</si>
  <si>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</si>
  <si>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</si>
  <si>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</si>
  <si>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</si>
  <si>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</si>
  <si>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</si>
  <si>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</si>
  <si>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</si>
  <si>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</si>
  <si>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</si>
  <si>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</si>
  <si>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Caridad</t>
  </si>
  <si>
    <t>Salir a Cenar</t>
  </si>
  <si>
    <t>Gastos de Manutencion</t>
  </si>
  <si>
    <t>Medicina</t>
  </si>
  <si>
    <t>Transporte</t>
  </si>
  <si>
    <t>Salario</t>
  </si>
  <si>
    <t>Opcional</t>
  </si>
  <si>
    <t>Pasivos</t>
  </si>
  <si>
    <t>Ingresos</t>
  </si>
  <si>
    <t>Renta</t>
  </si>
  <si>
    <t>Comestibles</t>
  </si>
  <si>
    <t>Combustible</t>
  </si>
  <si>
    <t>Ropa</t>
  </si>
  <si>
    <t>Prestamos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</si>
</sst>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£-809]#,##0.00"/>
    <numFmt numFmtId="165" formatCode="[$£-809]#,##0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3" fillId="4" borderId="1" xfId="0" applyFont="1" applyFill="1" applyBorder="1"/>
  </cellXfs>
  <cellStyles count="1">
    <cellStyle name="Normal" xfId="0" builtinId="0"/>
  </cellStyles>
  <dxfs count="41"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4" formatCode="[$£-809]#,##0.00"/>
    </dxf>
    <dxf>
      <numFmt numFmtId="164" formatCode="[$£-809]#,##0.0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165" formatCode="[$£-809]#,##0"/>
    </dxf>
    <dxf>
      <numFmt numFmtId="164" formatCode="[$£-809]#,##0.00"/>
    </dxf>
    <dxf>
      <numFmt numFmtId="164" formatCode="[$£-809]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2C2C2C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2C2C2C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SlicerStyleLight1 2" pivot="0" table="0" count="10" xr9:uid="{66F211D8-972F-4C2C-B9F2-BDA0ECCBAE0D}">
      <tableStyleElement type="wholeTable" dxfId="40"/>
      <tableStyleElement type="headerRow" dxfId="39"/>
    </tableStyle>
    <tableStyle name="SlicerStyleLight1 2 2" pivot="0" table="0" count="10" xr9:uid="{D199A0CE-B0DD-4DB7-BAE8-E786F4F373B3}">
      <tableStyleElement type="wholeTable" dxfId="38"/>
      <tableStyleElement type="headerRow" dxfId="37"/>
    </tableStyle>
  </tableStyles>
  <colors>
    <mruColors>
      <color rgb="FF2C2C2C"/>
      <color rgb="FFFF5757"/>
      <color rgb="FF282828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2"/>
            <color rgb="FFFFC000"/>
          </font>
          <fill>
            <patternFill patternType="solid">
              <fgColor auto="1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rgb="FFFF5757"/>
          </font>
          <fill>
            <patternFill patternType="solid">
              <fgColor auto="1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theme="4" tint="0.59999389629810485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 tint="-4.9989318521683403E-2"/>
          </font>
          <fill>
            <patternFill patternType="solid">
              <fgColor rgb="FFFFFFFF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8"/>
            <color rgb="FFFFC000"/>
          </font>
          <fill>
            <patternFill patternType="solid">
              <fgColor auto="1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rgb="FFFF5757"/>
          </font>
          <fill>
            <patternFill patternType="solid">
              <fgColor auto="1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4"/>
            <color theme="0"/>
          </font>
          <fill>
            <patternFill patternType="solid">
              <fgColor theme="4" tint="0.59999389629810485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 tint="-4.9989318521683403E-2"/>
          </font>
          <fill>
            <patternFill patternType="solid">
              <fgColor rgb="FFFFFFFF"/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[Dashboard_finanzas.xlsm]Analisis!TablaDinámica3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Analisis!$K$4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Analisis!$J$5:$J$10</c:f>
              <c:strCache>
                <c:ptCount val="5"/>
                <c:pt idx="0">
                  <c:v>Cash loan</c:v>
                </c:pt>
                <c:pt idx="1">
                  <c:v>Clothes</c:v>
                </c:pt>
                <c:pt idx="2">
                  <c:v>Furnishings</c:v>
                </c:pt>
                <c:pt idx="3">
                  <c:v>Groceries</c:v>
                </c:pt>
                <c:pt idx="4">
                  <c:v>Rent</c:v>
                </c:pt>
              </c:strCache>
            </c:strRef>
          </c:cat>
          <c:val>
            <c:numRef>
              <c:f>Analisis!$K$5:$K$10</c:f>
              <c:numCache>
                <c:formatCode>[$£-809]#,##0</c:formatCode>
                <c:ptCount val="5"/>
                <c:pt idx="0">
                  <c:v>150</c:v>
                </c:pt>
                <c:pt idx="1">
                  <c:v>379.8</c:v>
                </c:pt>
                <c:pt idx="2">
                  <c:v>235</c:v>
                </c:pt>
                <c:pt idx="3">
                  <c:v>648.9</c:v>
                </c:pt>
                <c:pt idx="4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60-425B-AFC7-FC4D19BAD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0356703"/>
        <c:axId val="240353823"/>
      </c:barChart>
      <c:catAx>
        <c:axId val="2403567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high"/>
        <c:spPr>
          <a:noFill/>
          <a:ln w="25400" cap="flat" cmpd="sng" algn="ctr">
            <a:solidFill>
              <a:schemeClr val="accent1">
                <a:shade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40353823"/>
        <c:crosses val="autoZero"/>
        <c:auto val="1"/>
        <c:lblAlgn val="ctr"/>
        <c:lblOffset val="100"/>
        <c:noMultiLvlLbl val="0"/>
      </c:catAx>
      <c:valAx>
        <c:axId val="240353823"/>
        <c:scaling>
          <c:orientation val="minMax"/>
        </c:scaling>
        <c:delete val="0"/>
        <c:axPos val="b"/>
        <c:numFmt formatCode="[$£-809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4035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[Dashboard_finanzas.xlsm]Analisis!TablaDinámica4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75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Analisis!$M$4</c:f>
              <c:strCache>
                <c:ptCount val="1"/>
                <c:pt idx="0">
                  <c:v>Suma de Credit</c:v>
                </c:pt>
              </c:strCache>
            </c:strRef>
          </c:tx>
          <c:spPr>
            <a:solidFill>
              <a:srgbClr val="FF575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Analisis!$M$5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Analisis!$M$5</c:f>
              <c:numCache>
                <c:formatCode>[$£-809]#,##0.00</c:formatCode>
                <c:ptCount val="1"/>
                <c:pt idx="0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0-465A-BEB3-76C994C987F6}"/>
            </c:ext>
          </c:extLst>
        </c:ser>
        <c:ser>
          <c:idx val="1"/>
          <c:order val="1"/>
          <c:tx>
            <c:strRef>
              <c:f>Analisis!$N$4</c:f>
              <c:strCache>
                <c:ptCount val="1"/>
                <c:pt idx="0">
                  <c:v>Suma de Debit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Analisis!$M$5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Analisis!$N$5</c:f>
              <c:numCache>
                <c:formatCode>[$£-809]#,##0.00</c:formatCode>
                <c:ptCount val="1"/>
                <c:pt idx="0">
                  <c:v>3116.1000000000004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40-465A-BEB3-76C994C987F6}"/>
            </c:ext>
          </c:extLst>
        </c:ser>
        <c:ser>
          <c:idx val="2"/>
          <c:order val="2"/>
          <c:tx>
            <c:strRef>
              <c:f>Analisis!$O$4</c:f>
              <c:strCache>
                <c:ptCount val="1"/>
                <c:pt idx="0">
                  <c:v>Suma de Amount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Analisis!$M$5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Analisis!$O$5</c:f>
              <c:numCache>
                <c:formatCode>[$£-809]#,##0.00</c:formatCode>
                <c:ptCount val="1"/>
                <c:pt idx="0">
                  <c:v>2883.8999999999996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40-465A-BEB3-76C994C987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7941359"/>
        <c:axId val="97937999"/>
      </c:barChart>
      <c:catAx>
        <c:axId val="979413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7937999"/>
        <c:crosses val="autoZero"/>
        <c:auto val="1"/>
        <c:lblAlgn val="ctr"/>
        <c:lblOffset val="100"/>
        <c:noMultiLvlLbl val="0"/>
      </c:catAx>
      <c:valAx>
        <c:axId val="9793799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97941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[Dashboard_finanzas.xlsm]Analisis!TablaDinámica5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85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rgbClr val="FF5757"/>
          </a:solidFill>
          <a:ln w="19050">
            <a:noFill/>
          </a:ln>
          <a:effectLst/>
        </c:spPr>
      </c:pivotFmt>
      <c:pivotFmt>
        <c:idx val="8"/>
        <c:spPr>
          <a:solidFill>
            <a:srgbClr val="FFC000"/>
          </a:solidFill>
          <a:ln w="101600">
            <a:solidFill>
              <a:srgbClr val="FFC000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Analisis!$R$4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5B-4506-AFDA-710A7E020371}"/>
              </c:ext>
            </c:extLst>
          </c:dPt>
          <c:dPt>
            <c:idx val="1"/>
            <c:bubble3D val="0"/>
            <c:spPr>
              <a:solidFill>
                <a:srgbClr val="FF575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5B-4506-AFDA-710A7E02037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01600">
                <a:solidFill>
                  <a:srgbClr val="FFC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5B-4506-AFDA-710A7E020371}"/>
              </c:ext>
            </c:extLst>
          </c:dPt>
          <c:cat>
            <c:strRef>
              <c:f>Analisis!$Q$5:$Q$8</c:f>
              <c:strCache>
                <c:ptCount val="3"/>
                <c:pt idx="0">
                  <c:v>DWD</c:v>
                </c:pt>
                <c:pt idx="1">
                  <c:v>Teachable</c:v>
                </c:pt>
                <c:pt idx="2">
                  <c:v>YouTube</c:v>
                </c:pt>
              </c:strCache>
            </c:strRef>
          </c:cat>
          <c:val>
            <c:numRef>
              <c:f>Analisis!$R$5:$R$8</c:f>
              <c:numCache>
                <c:formatCode>[$£-809]#,##0.00</c:formatCode>
                <c:ptCount val="3"/>
                <c:pt idx="0">
                  <c:v>50000</c:v>
                </c:pt>
                <c:pt idx="1">
                  <c:v>4500</c:v>
                </c:pt>
                <c:pt idx="2">
                  <c:v>10940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E7-403A-9999-DD2356D56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[Dashboard_finanzas.xlsm]Analisis!TablaDinámica6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1">
              <a:lumMod val="65000"/>
              <a:lumOff val="3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575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Analisis!$U$4:$U$5</c:f>
              <c:strCache>
                <c:ptCount val="1"/>
                <c:pt idx="0">
                  <c:v>Gastos de Manutencion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Analisis!$T$6:$T$13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Analisis!$U$6:$U$13</c:f>
              <c:numCache>
                <c:formatCode>[$£-809]#,##0.00</c:formatCode>
                <c:ptCount val="7"/>
                <c:pt idx="0">
                  <c:v>54.1</c:v>
                </c:pt>
                <c:pt idx="1">
                  <c:v>940</c:v>
                </c:pt>
                <c:pt idx="4">
                  <c:v>648.9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9D-4D3F-8502-88BE815F3756}"/>
            </c:ext>
          </c:extLst>
        </c:ser>
        <c:ser>
          <c:idx val="1"/>
          <c:order val="1"/>
          <c:tx>
            <c:strRef>
              <c:f>Analisis!$V$4:$V$5</c:f>
              <c:strCache>
                <c:ptCount val="1"/>
                <c:pt idx="0">
                  <c:v>Opcional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Analisis!$T$6:$T$13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Analisis!$V$6:$V$13</c:f>
              <c:numCache>
                <c:formatCode>[$£-809]#,##0.00</c:formatCode>
                <c:ptCount val="7"/>
                <c:pt idx="2">
                  <c:v>84</c:v>
                </c:pt>
                <c:pt idx="5">
                  <c:v>509.5</c:v>
                </c:pt>
                <c:pt idx="6">
                  <c:v>149.19999999999999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9D-4D3F-8502-88BE815F3756}"/>
            </c:ext>
          </c:extLst>
        </c:ser>
        <c:ser>
          <c:idx val="2"/>
          <c:order val="2"/>
          <c:tx>
            <c:strRef>
              <c:f>Analisis!$W$4:$W$5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Analisis!$T$6:$T$13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Analisis!$W$6:$W$13</c:f>
              <c:numCache>
                <c:formatCode>[$£-809]#,##0.00</c:formatCode>
                <c:ptCount val="7"/>
                <c:pt idx="0">
                  <c:v>67</c:v>
                </c:pt>
                <c:pt idx="1">
                  <c:v>150</c:v>
                </c:pt>
                <c:pt idx="2">
                  <c:v>81</c:v>
                </c:pt>
                <c:pt idx="6">
                  <c:v>59.2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80-4CEE-9A41-9A060D139D09}"/>
            </c:ext>
          </c:extLst>
        </c:ser>
        <c:ser>
          <c:idx val="3"/>
          <c:order val="3"/>
          <c:tx>
            <c:strRef>
              <c:f>Analisis!$X$4:$X$5</c:f>
              <c:strCache>
                <c:ptCount val="1"/>
                <c:pt idx="0">
                  <c:v>Salir a Cenar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Analisis!$T$6:$T$13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Analisis!$X$6:$X$13</c:f>
              <c:numCache>
                <c:formatCode>[$£-809]#,##0.00</c:formatCode>
                <c:ptCount val="7"/>
                <c:pt idx="0">
                  <c:v>25</c:v>
                </c:pt>
                <c:pt idx="1">
                  <c:v>40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102</c:v>
                </c:pt>
                <c:pt idx="6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80-4CEE-9A41-9A060D139D09}"/>
            </c:ext>
          </c:extLst>
        </c:ser>
        <c:ser>
          <c:idx val="4"/>
          <c:order val="4"/>
          <c:tx>
            <c:strRef>
              <c:f>Analisis!$Y$4:$Y$5</c:f>
              <c:strCache>
                <c:ptCount val="1"/>
                <c:pt idx="0">
                  <c:v>Medicina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Analisis!$T$6:$T$13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Analisis!$Y$6:$Y$13</c:f>
              <c:numCache>
                <c:formatCode>[$£-809]#,##0.00</c:formatCode>
                <c:ptCount val="7"/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80-4CEE-9A41-9A060D139D09}"/>
            </c:ext>
          </c:extLst>
        </c:ser>
        <c:ser>
          <c:idx val="5"/>
          <c:order val="5"/>
          <c:tx>
            <c:strRef>
              <c:f>Analisis!$Z$4:$Z$5</c:f>
              <c:strCache>
                <c:ptCount val="1"/>
                <c:pt idx="0">
                  <c:v>Caridad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Analisis!$T$6:$T$13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Analisis!$Z$6:$Z$13</c:f>
              <c:numCache>
                <c:formatCode>[$£-809]#,##0.00</c:formatCode>
                <c:ptCount val="7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80-4CEE-9A41-9A060D139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820831"/>
        <c:axId val="566821311"/>
      </c:barChart>
      <c:catAx>
        <c:axId val="5668208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566821311"/>
        <c:crosses val="autoZero"/>
        <c:auto val="1"/>
        <c:lblAlgn val="ctr"/>
        <c:lblOffset val="100"/>
        <c:noMultiLvlLbl val="0"/>
      </c:catAx>
      <c:valAx>
        <c:axId val="56682131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56682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9998903699691098E-2"/>
          <c:y val="3.276003276003276E-2"/>
          <c:w val="0.620455931951995"/>
          <c:h val="0.294781604144666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Analisis!$AP$4</c:f>
              <c:strCache>
                <c:ptCount val="1"/>
                <c:pt idx="0">
                  <c:v>Suma de Debit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Analisis!$AO$5:$AO$14</c:f>
              <c:strCache>
                <c:ptCount val="10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</c:strCache>
            </c:strRef>
          </c:cat>
          <c:val>
            <c:numRef>
              <c:f>Analisis!$AP$5:$AP$14</c:f>
              <c:numCache>
                <c:formatCode>General</c:formatCode>
                <c:ptCount val="10"/>
                <c:pt idx="0">
                  <c:v>2874</c:v>
                </c:pt>
                <c:pt idx="1">
                  <c:v>2904.6000000000004</c:v>
                </c:pt>
                <c:pt idx="2">
                  <c:v>3049.7</c:v>
                </c:pt>
                <c:pt idx="3">
                  <c:v>3038.0000000000005</c:v>
                </c:pt>
                <c:pt idx="4">
                  <c:v>3116.1</c:v>
                </c:pt>
                <c:pt idx="5">
                  <c:v>3005.7</c:v>
                </c:pt>
                <c:pt idx="6">
                  <c:v>3065</c:v>
                </c:pt>
                <c:pt idx="7">
                  <c:v>2952.0999999999995</c:v>
                </c:pt>
                <c:pt idx="8">
                  <c:v>3087.1</c:v>
                </c:pt>
                <c:pt idx="9">
                  <c:v>3098.7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5-425E-B0B5-6D665963E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137284752"/>
        <c:axId val="1137353392"/>
      </c:barChart>
      <c:catAx>
        <c:axId val="113728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137353392"/>
        <c:crosses val="autoZero"/>
        <c:auto val="1"/>
        <c:lblAlgn val="ctr"/>
        <c:lblOffset val="100"/>
        <c:noMultiLvlLbl val="0"/>
      </c:catAx>
      <c:valAx>
        <c:axId val="11373533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3728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plotArea>
      <cx:plotAreaRegion>
        <cx:series layoutId="waterfall" uniqueId="{00000001-7C7B-41B0-88A6-2801893F1874}" formatIdx="1">
          <cx:tx>
            <cx:txData>
              <cx:f>_xlchart.v5.1</cx:f>
              <cx:v>Suma de Amount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s-ES" sz="900" b="0" i="0" u="none" strike="noStrike" baseline="0">
                  <a:solidFill>
                    <a:schemeClr val="bg1"/>
                  </a:solidFill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8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ptos Narrow" panose="020B0004020202020204" pitchFamily="34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es-419">
              <a:solidFill>
                <a:schemeClr val="bg1"/>
              </a:solidFill>
            </a:endParaRPr>
          </a:p>
        </cx:txPr>
      </cx:axis>
      <cx:axis id="1">
        <cx:valScaling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ptos Narrow" panose="020B0004020202020204" pitchFamily="34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es-419">
              <a:solidFill>
                <a:schemeClr val="bg1"/>
              </a:solidFill>
            </a:endParaRPr>
          </a:p>
        </cx:txPr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endParaRPr lang="es-ES" sz="900" b="0" i="0" u="none" strike="noStrike" baseline="0">
            <a:solidFill>
              <a:schemeClr val="bg1"/>
            </a:solidFill>
            <a:latin typeface="Aptos Narrow" panose="0211000402020202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7030A0"/>
        </a:solidFill>
      </cx:spPr>
    </cx:fmtOvr>
    <cx:fmtOvr idx="1">
      <cx:spPr>
        <a:solidFill>
          <a:srgbClr val="FF5757"/>
        </a:solidFill>
      </cx:spPr>
    </cx:fmtOvr>
    <cx:fmtOvr idx="2">
      <cx:spPr>
        <a:solidFill>
          <a:schemeClr val="tx1">
            <a:lumMod val="85000"/>
            <a:lumOff val="1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nalisis!$AO$3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4.xml"/><Relationship Id="rId18" Type="http://schemas.openxmlformats.org/officeDocument/2006/relationships/image" Target="../media/image13.png"/><Relationship Id="rId26" Type="http://schemas.openxmlformats.org/officeDocument/2006/relationships/image" Target="../media/image21.png"/><Relationship Id="rId3" Type="http://schemas.openxmlformats.org/officeDocument/2006/relationships/image" Target="../media/image3.png"/><Relationship Id="rId21" Type="http://schemas.openxmlformats.org/officeDocument/2006/relationships/image" Target="../media/image16.svg"/><Relationship Id="rId7" Type="http://schemas.openxmlformats.org/officeDocument/2006/relationships/image" Target="../media/image7.png"/><Relationship Id="rId12" Type="http://schemas.openxmlformats.org/officeDocument/2006/relationships/chart" Target="../charts/chart3.xml"/><Relationship Id="rId17" Type="http://schemas.openxmlformats.org/officeDocument/2006/relationships/image" Target="../media/image12.svg"/><Relationship Id="rId25" Type="http://schemas.openxmlformats.org/officeDocument/2006/relationships/image" Target="../media/image20.sv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5.pn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2.xml"/><Relationship Id="rId24" Type="http://schemas.openxmlformats.org/officeDocument/2006/relationships/image" Target="../media/image19.png"/><Relationship Id="rId5" Type="http://schemas.openxmlformats.org/officeDocument/2006/relationships/image" Target="../media/image5.png"/><Relationship Id="rId15" Type="http://schemas.openxmlformats.org/officeDocument/2006/relationships/image" Target="../media/image10.svg"/><Relationship Id="rId23" Type="http://schemas.openxmlformats.org/officeDocument/2006/relationships/image" Target="../media/image18.svg"/><Relationship Id="rId28" Type="http://schemas.openxmlformats.org/officeDocument/2006/relationships/image" Target="../media/image23.png"/><Relationship Id="rId10" Type="http://schemas.openxmlformats.org/officeDocument/2006/relationships/chart" Target="../charts/chart1.xml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microsoft.com/office/2014/relationships/chartEx" Target="../charts/chartEx1.xml"/><Relationship Id="rId14" Type="http://schemas.openxmlformats.org/officeDocument/2006/relationships/image" Target="../media/image9.png"/><Relationship Id="rId22" Type="http://schemas.openxmlformats.org/officeDocument/2006/relationships/image" Target="../media/image17.png"/><Relationship Id="rId27" Type="http://schemas.openxmlformats.org/officeDocument/2006/relationships/image" Target="../media/image22.svg"/><Relationship Id="rId30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981075</xdr:colOff>
      <xdr:row>1</xdr:row>
      <xdr:rowOff>9525</xdr:rowOff>
    </xdr:from>
    <xdr:to>
      <xdr:col>21</xdr:col>
      <xdr:colOff>0</xdr:colOff>
      <xdr:row>4</xdr:row>
      <xdr:rowOff>9525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81075" y="200025"/>
          <a:ext cx="15601950" cy="6381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419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504825</xdr:colOff>
      <xdr:row>1</xdr:row>
      <xdr:rowOff>19049</xdr:rowOff>
    </xdr:from>
    <xdr:to>
      <xdr:col>1</xdr:col>
      <xdr:colOff>9525</xdr:colOff>
      <xdr:row>41</xdr:row>
      <xdr:rowOff>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504825" y="209549"/>
          <a:ext cx="552450" cy="7896226"/>
          <a:chOff x="504825" y="209550"/>
          <a:chExt cx="552450" cy="6524625"/>
        </a:xfrm>
        <a:solidFill>
          <a:schemeClr val="tx1">
            <a:lumMod val="75000"/>
            <a:lumOff val="25000"/>
          </a:schemeClr>
        </a:solidFill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504825" y="209550"/>
            <a:ext cx="352425" cy="6524625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62000" y="209550"/>
            <a:ext cx="295275" cy="65232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s-419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962024</xdr:colOff>
      <xdr:row>3</xdr:row>
      <xdr:rowOff>0</xdr:rowOff>
    </xdr:from>
    <xdr:to>
      <xdr:col>2</xdr:col>
      <xdr:colOff>66675</xdr:colOff>
      <xdr:row>4</xdr:row>
      <xdr:rowOff>9525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62024" y="571500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Dashboard</a:t>
          </a:r>
        </a:p>
        <a:p>
          <a:pPr algn="ctr"/>
          <a:endParaRPr lang="es-419" sz="1100"/>
        </a:p>
      </xdr:txBody>
    </xdr:sp>
    <xdr:clientData/>
  </xdr:twoCellAnchor>
  <xdr:twoCellAnchor>
    <xdr:from>
      <xdr:col>0</xdr:col>
      <xdr:colOff>1000125</xdr:colOff>
      <xdr:row>1</xdr:row>
      <xdr:rowOff>19050</xdr:rowOff>
    </xdr:from>
    <xdr:to>
      <xdr:col>2</xdr:col>
      <xdr:colOff>0</xdr:colOff>
      <xdr:row>2</xdr:row>
      <xdr:rowOff>76200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00125" y="209550"/>
          <a:ext cx="80962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Finanzas</a:t>
          </a:r>
        </a:p>
        <a:p>
          <a:pPr algn="ctr"/>
          <a:endParaRPr lang="es-419" sz="1100"/>
        </a:p>
      </xdr:txBody>
    </xdr:sp>
    <xdr:clientData/>
  </xdr:twoCellAnchor>
  <xdr:twoCellAnchor editAs="oneCell">
    <xdr:from>
      <xdr:col>0</xdr:col>
      <xdr:colOff>742951</xdr:colOff>
      <xdr:row>2</xdr:row>
      <xdr:rowOff>133350</xdr:rowOff>
    </xdr:from>
    <xdr:to>
      <xdr:col>1</xdr:col>
      <xdr:colOff>28576</xdr:colOff>
      <xdr:row>4</xdr:row>
      <xdr:rowOff>19050</xdr:rowOff>
    </xdr:to>
    <xdr:pic>
      <xdr:nvPicPr>
        <xdr:cNvPr id="8" name="Graphic 1" descr="Suburban scen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2951" y="514350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819150</xdr:colOff>
      <xdr:row>1</xdr:row>
      <xdr:rowOff>47625</xdr:rowOff>
    </xdr:from>
    <xdr:to>
      <xdr:col>1</xdr:col>
      <xdr:colOff>9525</xdr:colOff>
      <xdr:row>2</xdr:row>
      <xdr:rowOff>95250</xdr:rowOff>
    </xdr:to>
    <xdr:pic>
      <xdr:nvPicPr>
        <xdr:cNvPr id="9" name="Graphic 12" descr="Serv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9150" y="238125"/>
          <a:ext cx="238125" cy="238125"/>
        </a:xfrm>
        <a:prstGeom prst="rect">
          <a:avLst/>
        </a:prstGeom>
      </xdr:spPr>
    </xdr:pic>
    <xdr:clientData/>
  </xdr:twoCellAnchor>
  <xdr:twoCellAnchor>
    <xdr:from>
      <xdr:col>17</xdr:col>
      <xdr:colOff>200025</xdr:colOff>
      <xdr:row>1</xdr:row>
      <xdr:rowOff>76200</xdr:rowOff>
    </xdr:from>
    <xdr:to>
      <xdr:col>18</xdr:col>
      <xdr:colOff>581025</xdr:colOff>
      <xdr:row>2</xdr:row>
      <xdr:rowOff>114300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3439775" y="266700"/>
          <a:ext cx="1143000" cy="22860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Fecha</a:t>
          </a:r>
          <a:r>
            <a:rPr lang="es-419" sz="1100" baseline="0"/>
            <a:t> de Inicio</a:t>
          </a:r>
          <a:endParaRPr lang="es-419" sz="1100"/>
        </a:p>
      </xdr:txBody>
    </xdr:sp>
    <xdr:clientData/>
  </xdr:twoCellAnchor>
  <xdr:twoCellAnchor>
    <xdr:from>
      <xdr:col>17</xdr:col>
      <xdr:colOff>66675</xdr:colOff>
      <xdr:row>2</xdr:row>
      <xdr:rowOff>180975</xdr:rowOff>
    </xdr:from>
    <xdr:to>
      <xdr:col>18</xdr:col>
      <xdr:colOff>447675</xdr:colOff>
      <xdr:row>3</xdr:row>
      <xdr:rowOff>219075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3306425" y="561975"/>
          <a:ext cx="1143000" cy="22860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Feche</a:t>
          </a:r>
          <a:r>
            <a:rPr lang="es-419" sz="1100" baseline="0"/>
            <a:t> Final</a:t>
          </a:r>
          <a:endParaRPr lang="es-419" sz="1100"/>
        </a:p>
      </xdr:txBody>
    </xdr:sp>
    <xdr:clientData/>
  </xdr:twoCellAnchor>
  <xdr:twoCellAnchor>
    <xdr:from>
      <xdr:col>19</xdr:col>
      <xdr:colOff>1</xdr:colOff>
      <xdr:row>1</xdr:row>
      <xdr:rowOff>38100</xdr:rowOff>
    </xdr:from>
    <xdr:to>
      <xdr:col>20</xdr:col>
      <xdr:colOff>152401</xdr:colOff>
      <xdr:row>3</xdr:row>
      <xdr:rowOff>28575</xdr:rowOff>
    </xdr:to>
    <xdr:sp macro="" textlink="Analisis!E5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4763751" y="228600"/>
          <a:ext cx="9144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66F20D4-DB41-4E2A-AED2-190F41109616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l"/>
            <a:t>4/1/2024</a:t>
          </a:fld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638176</xdr:colOff>
      <xdr:row>2</xdr:row>
      <xdr:rowOff>142875</xdr:rowOff>
    </xdr:from>
    <xdr:to>
      <xdr:col>20</xdr:col>
      <xdr:colOff>28576</xdr:colOff>
      <xdr:row>4</xdr:row>
      <xdr:rowOff>66675</xdr:rowOff>
    </xdr:to>
    <xdr:sp macro="" textlink="Analisis!E6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4639926" y="523875"/>
          <a:ext cx="9144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A325B8B-9260-4DE9-B92D-0C84FC00B1FB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l"/>
            <a:t>31/10/2024</a:t>
          </a:fld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571500</xdr:colOff>
      <xdr:row>1</xdr:row>
      <xdr:rowOff>9525</xdr:rowOff>
    </xdr:from>
    <xdr:to>
      <xdr:col>19</xdr:col>
      <xdr:colOff>104775</xdr:colOff>
      <xdr:row>2</xdr:row>
      <xdr:rowOff>114300</xdr:rowOff>
    </xdr:to>
    <xdr:pic>
      <xdr:nvPicPr>
        <xdr:cNvPr id="15" name="Gráfico 14" descr="Calendario contorn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573250" y="20002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2</xdr:row>
      <xdr:rowOff>152400</xdr:rowOff>
    </xdr:from>
    <xdr:to>
      <xdr:col>18</xdr:col>
      <xdr:colOff>733425</xdr:colOff>
      <xdr:row>4</xdr:row>
      <xdr:rowOff>0</xdr:rowOff>
    </xdr:to>
    <xdr:pic>
      <xdr:nvPicPr>
        <xdr:cNvPr id="16" name="Gráfico 15" descr="Calendario contorn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39900" y="533400"/>
          <a:ext cx="295275" cy="295275"/>
        </a:xfrm>
        <a:prstGeom prst="rect">
          <a:avLst/>
        </a:prstGeom>
      </xdr:spPr>
    </xdr:pic>
    <xdr:clientData/>
  </xdr:twoCellAnchor>
  <xdr:twoCellAnchor>
    <xdr:from>
      <xdr:col>6</xdr:col>
      <xdr:colOff>514350</xdr:colOff>
      <xdr:row>1</xdr:row>
      <xdr:rowOff>180975</xdr:rowOff>
    </xdr:from>
    <xdr:to>
      <xdr:col>14</xdr:col>
      <xdr:colOff>0</xdr:colOff>
      <xdr:row>3</xdr:row>
      <xdr:rowOff>200025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372100" y="371475"/>
          <a:ext cx="5581650" cy="400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200"/>
            <a:t>Analisis Personal</a:t>
          </a:r>
          <a:r>
            <a:rPr lang="es-419" sz="3200" baseline="0"/>
            <a:t> de Finanzas</a:t>
          </a:r>
          <a:endParaRPr lang="es-419" sz="3200"/>
        </a:p>
        <a:p>
          <a:pPr algn="ctr"/>
          <a:endParaRPr lang="es-419" sz="3200"/>
        </a:p>
      </xdr:txBody>
    </xdr:sp>
    <xdr:clientData/>
  </xdr:twoCellAnchor>
  <xdr:twoCellAnchor editAs="oneCell">
    <xdr:from>
      <xdr:col>6</xdr:col>
      <xdr:colOff>266700</xdr:colOff>
      <xdr:row>1</xdr:row>
      <xdr:rowOff>47625</xdr:rowOff>
    </xdr:from>
    <xdr:to>
      <xdr:col>7</xdr:col>
      <xdr:colOff>9525</xdr:colOff>
      <xdr:row>3</xdr:row>
      <xdr:rowOff>171450</xdr:rowOff>
    </xdr:to>
    <xdr:pic>
      <xdr:nvPicPr>
        <xdr:cNvPr id="20" name="Gráfico 19" descr="Balanza de la justicia contorn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124450" y="238125"/>
          <a:ext cx="504825" cy="504825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4</xdr:row>
      <xdr:rowOff>76200</xdr:rowOff>
    </xdr:from>
    <xdr:to>
      <xdr:col>12</xdr:col>
      <xdr:colOff>352425</xdr:colOff>
      <xdr:row>20</xdr:row>
      <xdr:rowOff>47625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133475" y="904875"/>
          <a:ext cx="8648700" cy="3114675"/>
        </a:xfrm>
        <a:prstGeom prst="roundRect">
          <a:avLst>
            <a:gd name="adj" fmla="val 2294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</xdr:col>
      <xdr:colOff>257174</xdr:colOff>
      <xdr:row>4</xdr:row>
      <xdr:rowOff>247650</xdr:rowOff>
    </xdr:from>
    <xdr:to>
      <xdr:col>11</xdr:col>
      <xdr:colOff>647699</xdr:colOff>
      <xdr:row>19</xdr:row>
      <xdr:rowOff>38100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2" name="Gráfico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4924" y="1076325"/>
              <a:ext cx="801052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</xdr:col>
      <xdr:colOff>723899</xdr:colOff>
      <xdr:row>4</xdr:row>
      <xdr:rowOff>209550</xdr:rowOff>
    </xdr:from>
    <xdr:to>
      <xdr:col>3</xdr:col>
      <xdr:colOff>647700</xdr:colOff>
      <xdr:row>6</xdr:row>
      <xdr:rowOff>0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771649" y="1038225"/>
          <a:ext cx="14478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Gastos por Categoria</a:t>
          </a:r>
        </a:p>
        <a:p>
          <a:pPr algn="ctr"/>
          <a:endParaRPr lang="es-419" sz="1100"/>
        </a:p>
      </xdr:txBody>
    </xdr:sp>
    <xdr:clientData/>
  </xdr:twoCellAnchor>
  <xdr:twoCellAnchor>
    <xdr:from>
      <xdr:col>12</xdr:col>
      <xdr:colOff>390525</xdr:colOff>
      <xdr:row>4</xdr:row>
      <xdr:rowOff>76200</xdr:rowOff>
    </xdr:from>
    <xdr:to>
      <xdr:col>16</xdr:col>
      <xdr:colOff>733425</xdr:colOff>
      <xdr:row>20</xdr:row>
      <xdr:rowOff>47625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9820275" y="904875"/>
          <a:ext cx="3390900" cy="3114675"/>
        </a:xfrm>
        <a:prstGeom prst="roundRect">
          <a:avLst>
            <a:gd name="adj" fmla="val 3211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12</xdr:col>
      <xdr:colOff>619124</xdr:colOff>
      <xdr:row>4</xdr:row>
      <xdr:rowOff>257175</xdr:rowOff>
    </xdr:from>
    <xdr:to>
      <xdr:col>16</xdr:col>
      <xdr:colOff>495300</xdr:colOff>
      <xdr:row>19</xdr:row>
      <xdr:rowOff>47625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85725</xdr:colOff>
      <xdr:row>20</xdr:row>
      <xdr:rowOff>161926</xdr:rowOff>
    </xdr:from>
    <xdr:to>
      <xdr:col>6</xdr:col>
      <xdr:colOff>152401</xdr:colOff>
      <xdr:row>32</xdr:row>
      <xdr:rowOff>171451</xdr:rowOff>
    </xdr:to>
    <xdr:sp macro="" textlink="">
      <xdr:nvSpPr>
        <xdr:cNvPr id="28" name="Diagrama de flujo: proceso alternativ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133475" y="4133851"/>
          <a:ext cx="3876676" cy="2295525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13</xdr:col>
      <xdr:colOff>495300</xdr:colOff>
      <xdr:row>4</xdr:row>
      <xdr:rowOff>180975</xdr:rowOff>
    </xdr:from>
    <xdr:to>
      <xdr:col>15</xdr:col>
      <xdr:colOff>419101</xdr:colOff>
      <xdr:row>5</xdr:row>
      <xdr:rowOff>161925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0687050" y="1009650"/>
          <a:ext cx="14478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Top 5 Flujo</a:t>
          </a:r>
          <a:r>
            <a:rPr lang="es-419" sz="1100" baseline="0"/>
            <a:t> de Gastos</a:t>
          </a:r>
          <a:endParaRPr lang="es-419" sz="1100"/>
        </a:p>
        <a:p>
          <a:pPr algn="ctr"/>
          <a:endParaRPr lang="es-419" sz="1100"/>
        </a:p>
      </xdr:txBody>
    </xdr:sp>
    <xdr:clientData/>
  </xdr:twoCellAnchor>
  <xdr:twoCellAnchor>
    <xdr:from>
      <xdr:col>0</xdr:col>
      <xdr:colOff>152399</xdr:colOff>
      <xdr:row>21</xdr:row>
      <xdr:rowOff>28575</xdr:rowOff>
    </xdr:from>
    <xdr:to>
      <xdr:col>5</xdr:col>
      <xdr:colOff>628649</xdr:colOff>
      <xdr:row>32</xdr:row>
      <xdr:rowOff>114300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581025</xdr:colOff>
      <xdr:row>23</xdr:row>
      <xdr:rowOff>133350</xdr:rowOff>
    </xdr:from>
    <xdr:to>
      <xdr:col>6</xdr:col>
      <xdr:colOff>504826</xdr:colOff>
      <xdr:row>25</xdr:row>
      <xdr:rowOff>19050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914775" y="4676775"/>
          <a:ext cx="14478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419" sz="1100"/>
            <a:t>Monto Restante</a:t>
          </a:r>
        </a:p>
        <a:p>
          <a:pPr algn="ctr"/>
          <a:endParaRPr lang="es-419" sz="1100"/>
        </a:p>
      </xdr:txBody>
    </xdr:sp>
    <xdr:clientData/>
  </xdr:twoCellAnchor>
  <xdr:twoCellAnchor>
    <xdr:from>
      <xdr:col>4</xdr:col>
      <xdr:colOff>561975</xdr:colOff>
      <xdr:row>26</xdr:row>
      <xdr:rowOff>19050</xdr:rowOff>
    </xdr:from>
    <xdr:to>
      <xdr:col>6</xdr:col>
      <xdr:colOff>485776</xdr:colOff>
      <xdr:row>27</xdr:row>
      <xdr:rowOff>95250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95725" y="5133975"/>
          <a:ext cx="14478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419" sz="1100"/>
            <a:t>Credito</a:t>
          </a:r>
        </a:p>
        <a:p>
          <a:pPr algn="ctr"/>
          <a:endParaRPr lang="es-419" sz="1100"/>
        </a:p>
      </xdr:txBody>
    </xdr:sp>
    <xdr:clientData/>
  </xdr:twoCellAnchor>
  <xdr:twoCellAnchor>
    <xdr:from>
      <xdr:col>4</xdr:col>
      <xdr:colOff>571500</xdr:colOff>
      <xdr:row>28</xdr:row>
      <xdr:rowOff>152400</xdr:rowOff>
    </xdr:from>
    <xdr:to>
      <xdr:col>6</xdr:col>
      <xdr:colOff>495301</xdr:colOff>
      <xdr:row>30</xdr:row>
      <xdr:rowOff>38100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3905250" y="5648325"/>
          <a:ext cx="14478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419" sz="1100"/>
            <a:t>Debito</a:t>
          </a:r>
        </a:p>
        <a:p>
          <a:pPr algn="l"/>
          <a:endParaRPr lang="es-419" sz="1100"/>
        </a:p>
      </xdr:txBody>
    </xdr:sp>
    <xdr:clientData/>
  </xdr:twoCellAnchor>
  <xdr:twoCellAnchor>
    <xdr:from>
      <xdr:col>4</xdr:col>
      <xdr:colOff>333375</xdr:colOff>
      <xdr:row>23</xdr:row>
      <xdr:rowOff>123825</xdr:rowOff>
    </xdr:from>
    <xdr:to>
      <xdr:col>4</xdr:col>
      <xdr:colOff>590550</xdr:colOff>
      <xdr:row>25</xdr:row>
      <xdr:rowOff>0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67125" y="4667250"/>
          <a:ext cx="257175" cy="257175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4</xdr:col>
      <xdr:colOff>314325</xdr:colOff>
      <xdr:row>26</xdr:row>
      <xdr:rowOff>19050</xdr:rowOff>
    </xdr:from>
    <xdr:to>
      <xdr:col>4</xdr:col>
      <xdr:colOff>571500</xdr:colOff>
      <xdr:row>27</xdr:row>
      <xdr:rowOff>85725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648075" y="5133975"/>
          <a:ext cx="257175" cy="257175"/>
        </a:xfrm>
        <a:prstGeom prst="ellipse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4</xdr:col>
      <xdr:colOff>323850</xdr:colOff>
      <xdr:row>28</xdr:row>
      <xdr:rowOff>152400</xdr:rowOff>
    </xdr:from>
    <xdr:to>
      <xdr:col>4</xdr:col>
      <xdr:colOff>581025</xdr:colOff>
      <xdr:row>30</xdr:row>
      <xdr:rowOff>28575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3657600" y="5648325"/>
          <a:ext cx="257175" cy="257175"/>
        </a:xfrm>
        <a:prstGeom prst="ellipse">
          <a:avLst/>
        </a:prstGeom>
        <a:solidFill>
          <a:srgbClr val="FF575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6</xdr:col>
      <xdr:colOff>257175</xdr:colOff>
      <xdr:row>20</xdr:row>
      <xdr:rowOff>161926</xdr:rowOff>
    </xdr:from>
    <xdr:to>
      <xdr:col>10</xdr:col>
      <xdr:colOff>200025</xdr:colOff>
      <xdr:row>32</xdr:row>
      <xdr:rowOff>171451</xdr:rowOff>
    </xdr:to>
    <xdr:sp macro="" textlink="">
      <xdr:nvSpPr>
        <xdr:cNvPr id="39" name="Diagrama de flujo: proceso alternativ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114925" y="4133851"/>
          <a:ext cx="2990850" cy="2295525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6</xdr:col>
      <xdr:colOff>323850</xdr:colOff>
      <xdr:row>21</xdr:row>
      <xdr:rowOff>89535</xdr:rowOff>
    </xdr:from>
    <xdr:to>
      <xdr:col>10</xdr:col>
      <xdr:colOff>114300</xdr:colOff>
      <xdr:row>30</xdr:row>
      <xdr:rowOff>78105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447675</xdr:colOff>
      <xdr:row>29</xdr:row>
      <xdr:rowOff>133351</xdr:rowOff>
    </xdr:from>
    <xdr:to>
      <xdr:col>7</xdr:col>
      <xdr:colOff>600076</xdr:colOff>
      <xdr:row>31</xdr:row>
      <xdr:rowOff>19051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305425" y="5819776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Youtube</a:t>
          </a:r>
        </a:p>
        <a:p>
          <a:pPr algn="ctr"/>
          <a:endParaRPr lang="es-419" sz="1100"/>
        </a:p>
      </xdr:txBody>
    </xdr:sp>
    <xdr:clientData/>
  </xdr:twoCellAnchor>
  <xdr:twoCellAnchor>
    <xdr:from>
      <xdr:col>7</xdr:col>
      <xdr:colOff>523875</xdr:colOff>
      <xdr:row>29</xdr:row>
      <xdr:rowOff>133351</xdr:rowOff>
    </xdr:from>
    <xdr:to>
      <xdr:col>8</xdr:col>
      <xdr:colOff>676276</xdr:colOff>
      <xdr:row>31</xdr:row>
      <xdr:rowOff>19051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143625" y="5819776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DWD</a:t>
          </a:r>
        </a:p>
        <a:p>
          <a:pPr algn="ctr"/>
          <a:endParaRPr lang="es-419" sz="1100"/>
        </a:p>
      </xdr:txBody>
    </xdr:sp>
    <xdr:clientData/>
  </xdr:twoCellAnchor>
  <xdr:twoCellAnchor>
    <xdr:from>
      <xdr:col>8</xdr:col>
      <xdr:colOff>571500</xdr:colOff>
      <xdr:row>29</xdr:row>
      <xdr:rowOff>133351</xdr:rowOff>
    </xdr:from>
    <xdr:to>
      <xdr:col>9</xdr:col>
      <xdr:colOff>723901</xdr:colOff>
      <xdr:row>31</xdr:row>
      <xdr:rowOff>19051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6953250" y="5819776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Enseñable</a:t>
          </a:r>
        </a:p>
        <a:p>
          <a:pPr algn="ctr"/>
          <a:endParaRPr lang="es-419" sz="1100"/>
        </a:p>
      </xdr:txBody>
    </xdr:sp>
    <xdr:clientData/>
  </xdr:twoCellAnchor>
  <xdr:twoCellAnchor>
    <xdr:from>
      <xdr:col>6</xdr:col>
      <xdr:colOff>447675</xdr:colOff>
      <xdr:row>31</xdr:row>
      <xdr:rowOff>19051</xdr:rowOff>
    </xdr:from>
    <xdr:to>
      <xdr:col>7</xdr:col>
      <xdr:colOff>600076</xdr:colOff>
      <xdr:row>32</xdr:row>
      <xdr:rowOff>95251</xdr:rowOff>
    </xdr:to>
    <xdr:sp macro="" textlink="Analisis!R7">
      <xdr:nvSpPr>
        <xdr:cNvPr id="43" name="Rectá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305425" y="6086476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20F9CD30-5891-4CDF-96AF-24095CB14374}" type="TxLink">
            <a: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£10,940.00</a:t>
          </a:fld>
          <a:endParaRPr lang="es-419" sz="11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523875</xdr:colOff>
      <xdr:row>31</xdr:row>
      <xdr:rowOff>19051</xdr:rowOff>
    </xdr:from>
    <xdr:to>
      <xdr:col>8</xdr:col>
      <xdr:colOff>676276</xdr:colOff>
      <xdr:row>32</xdr:row>
      <xdr:rowOff>95251</xdr:rowOff>
    </xdr:to>
    <xdr:sp macro="" textlink="Analisis!R5">
      <xdr:nvSpPr>
        <xdr:cNvPr id="44" name="Rectá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6143625" y="6086476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2908519-686D-42E1-9388-6B95FB99CCED}" type="TxLink">
            <a: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£50,000.00</a:t>
          </a:fld>
          <a:endParaRPr lang="es-419" sz="11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571500</xdr:colOff>
      <xdr:row>31</xdr:row>
      <xdr:rowOff>19051</xdr:rowOff>
    </xdr:from>
    <xdr:to>
      <xdr:col>9</xdr:col>
      <xdr:colOff>723901</xdr:colOff>
      <xdr:row>32</xdr:row>
      <xdr:rowOff>95251</xdr:rowOff>
    </xdr:to>
    <xdr:sp macro="" textlink="Analisis!R6">
      <xdr:nvSpPr>
        <xdr:cNvPr id="45" name="Rectá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6953250" y="6086476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6EAB00-5C86-43E8-AEB9-8E70A6AB1A79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£4,500.00</a:t>
          </a:fld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581025</xdr:colOff>
      <xdr:row>32</xdr:row>
      <xdr:rowOff>66675</xdr:rowOff>
    </xdr:from>
    <xdr:to>
      <xdr:col>7</xdr:col>
      <xdr:colOff>428625</xdr:colOff>
      <xdr:row>32</xdr:row>
      <xdr:rowOff>112394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438775" y="6324600"/>
          <a:ext cx="609600" cy="45719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7</xdr:col>
      <xdr:colOff>642937</xdr:colOff>
      <xdr:row>32</xdr:row>
      <xdr:rowOff>66675</xdr:rowOff>
    </xdr:from>
    <xdr:to>
      <xdr:col>8</xdr:col>
      <xdr:colOff>490537</xdr:colOff>
      <xdr:row>32</xdr:row>
      <xdr:rowOff>112394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6262687" y="6324600"/>
          <a:ext cx="609600" cy="45719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8</xdr:col>
      <xdr:colOff>704850</xdr:colOff>
      <xdr:row>32</xdr:row>
      <xdr:rowOff>85725</xdr:rowOff>
    </xdr:from>
    <xdr:to>
      <xdr:col>9</xdr:col>
      <xdr:colOff>552450</xdr:colOff>
      <xdr:row>32</xdr:row>
      <xdr:rowOff>131444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086600" y="6343650"/>
          <a:ext cx="609600" cy="45719"/>
        </a:xfrm>
        <a:prstGeom prst="rect">
          <a:avLst/>
        </a:prstGeom>
        <a:solidFill>
          <a:srgbClr val="FF575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7</xdr:col>
      <xdr:colOff>600075</xdr:colOff>
      <xdr:row>25</xdr:row>
      <xdr:rowOff>47625</xdr:rowOff>
    </xdr:from>
    <xdr:to>
      <xdr:col>8</xdr:col>
      <xdr:colOff>752476</xdr:colOff>
      <xdr:row>26</xdr:row>
      <xdr:rowOff>123825</xdr:rowOff>
    </xdr:to>
    <xdr:sp macro="" textlink="Analisis!R8">
      <xdr:nvSpPr>
        <xdr:cNvPr id="21" name="Rectángul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219825" y="4972050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189CC44F-68A9-405E-A7E6-33EB56BDC76E}" type="TxLink">
            <a:rPr lang="en-US" sz="1600" b="1" i="0" u="none" strike="noStrike">
              <a:solidFill>
                <a:srgbClr val="FFC000"/>
              </a:solidFill>
              <a:latin typeface="Aptos Narrow"/>
              <a:ea typeface="+mn-ea"/>
              <a:cs typeface="+mn-cs"/>
            </a:rPr>
            <a:pPr marL="0" indent="0" algn="ctr"/>
            <a:t>£65,440.00</a:t>
          </a:fld>
          <a:endParaRPr lang="es-419" sz="1600" b="1" i="0" u="none" strike="noStrike">
            <a:solidFill>
              <a:srgbClr val="FFC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314324</xdr:colOff>
      <xdr:row>21</xdr:row>
      <xdr:rowOff>1</xdr:rowOff>
    </xdr:from>
    <xdr:to>
      <xdr:col>16</xdr:col>
      <xdr:colOff>752475</xdr:colOff>
      <xdr:row>33</xdr:row>
      <xdr:rowOff>9526</xdr:rowOff>
    </xdr:to>
    <xdr:sp macro="" textlink="">
      <xdr:nvSpPr>
        <xdr:cNvPr id="31" name="Diagrama de flujo: proceso alternativ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8220074" y="4162426"/>
          <a:ext cx="5010151" cy="2295525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11</xdr:col>
      <xdr:colOff>57150</xdr:colOff>
      <xdr:row>21</xdr:row>
      <xdr:rowOff>161925</xdr:rowOff>
    </xdr:from>
    <xdr:to>
      <xdr:col>16</xdr:col>
      <xdr:colOff>123825</xdr:colOff>
      <xdr:row>32</xdr:row>
      <xdr:rowOff>182880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142875</xdr:colOff>
      <xdr:row>20</xdr:row>
      <xdr:rowOff>161926</xdr:rowOff>
    </xdr:from>
    <xdr:to>
      <xdr:col>5</xdr:col>
      <xdr:colOff>666750</xdr:colOff>
      <xdr:row>22</xdr:row>
      <xdr:rowOff>47626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3476625" y="4133851"/>
          <a:ext cx="128587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/>
            <a:t>Ingresos</a:t>
          </a:r>
          <a:r>
            <a:rPr lang="es-419" sz="1200" baseline="0"/>
            <a:t> y Salidas</a:t>
          </a:r>
          <a:endParaRPr lang="es-419" sz="1200"/>
        </a:p>
        <a:p>
          <a:pPr algn="ctr"/>
          <a:endParaRPr lang="es-419" sz="1200"/>
        </a:p>
      </xdr:txBody>
    </xdr:sp>
    <xdr:clientData/>
  </xdr:twoCellAnchor>
  <xdr:twoCellAnchor>
    <xdr:from>
      <xdr:col>8</xdr:col>
      <xdr:colOff>295276</xdr:colOff>
      <xdr:row>20</xdr:row>
      <xdr:rowOff>161925</xdr:rowOff>
    </xdr:from>
    <xdr:to>
      <xdr:col>10</xdr:col>
      <xdr:colOff>171452</xdr:colOff>
      <xdr:row>22</xdr:row>
      <xdr:rowOff>47625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6677026" y="4133850"/>
          <a:ext cx="1400176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/>
            <a:t>Analisis de Ingresos</a:t>
          </a:r>
        </a:p>
        <a:p>
          <a:pPr algn="ctr"/>
          <a:endParaRPr lang="es-419" sz="1200"/>
        </a:p>
      </xdr:txBody>
    </xdr:sp>
    <xdr:clientData/>
  </xdr:twoCellAnchor>
  <xdr:twoCellAnchor>
    <xdr:from>
      <xdr:col>12</xdr:col>
      <xdr:colOff>295275</xdr:colOff>
      <xdr:row>21</xdr:row>
      <xdr:rowOff>0</xdr:rowOff>
    </xdr:from>
    <xdr:to>
      <xdr:col>14</xdr:col>
      <xdr:colOff>628650</xdr:colOff>
      <xdr:row>22</xdr:row>
      <xdr:rowOff>76200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725025" y="4162425"/>
          <a:ext cx="185737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/>
            <a:t>Vista de Gastos Semanales</a:t>
          </a:r>
        </a:p>
        <a:p>
          <a:pPr algn="ctr"/>
          <a:endParaRPr lang="es-419" sz="1200"/>
        </a:p>
      </xdr:txBody>
    </xdr:sp>
    <xdr:clientData/>
  </xdr:twoCellAnchor>
  <xdr:twoCellAnchor>
    <xdr:from>
      <xdr:col>1</xdr:col>
      <xdr:colOff>333375</xdr:colOff>
      <xdr:row>33</xdr:row>
      <xdr:rowOff>228601</xdr:rowOff>
    </xdr:from>
    <xdr:to>
      <xdr:col>3</xdr:col>
      <xdr:colOff>247650</xdr:colOff>
      <xdr:row>40</xdr:row>
      <xdr:rowOff>142875</xdr:rowOff>
    </xdr:to>
    <xdr:sp macro="" textlink="">
      <xdr:nvSpPr>
        <xdr:cNvPr id="51" name="Diagrama de flujo: proceso alternativo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1381125" y="6677026"/>
          <a:ext cx="1438275" cy="1381124"/>
        </a:xfrm>
        <a:prstGeom prst="flowChartAlternateProcess">
          <a:avLst/>
        </a:prstGeom>
        <a:solidFill>
          <a:srgbClr val="7030A0"/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2</xdr:col>
      <xdr:colOff>47625</xdr:colOff>
      <xdr:row>34</xdr:row>
      <xdr:rowOff>28575</xdr:rowOff>
    </xdr:from>
    <xdr:to>
      <xdr:col>2</xdr:col>
      <xdr:colOff>514350</xdr:colOff>
      <xdr:row>36</xdr:row>
      <xdr:rowOff>76200</xdr:rowOff>
    </xdr:to>
    <xdr:pic>
      <xdr:nvPicPr>
        <xdr:cNvPr id="63" name="Gráfico 62" descr="Escena suburbana con relleno sólido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57375" y="6762750"/>
          <a:ext cx="466725" cy="466725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36</xdr:row>
      <xdr:rowOff>66676</xdr:rowOff>
    </xdr:from>
    <xdr:to>
      <xdr:col>3</xdr:col>
      <xdr:colOff>476249</xdr:colOff>
      <xdr:row>37</xdr:row>
      <xdr:rowOff>142876</xdr:rowOff>
    </xdr:to>
    <xdr:sp macro="" textlink="Analisis!AC5">
      <xdr:nvSpPr>
        <xdr:cNvPr id="64" name="Rectángulo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181100" y="7219951"/>
          <a:ext cx="1866899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8CB324E-1238-45AE-AAC2-BCCFB81BDBDE}" type="TxLink">
            <a:rPr lang="en-US" sz="1800" b="1" i="0" u="none" strike="noStrike">
              <a:solidFill>
                <a:schemeClr val="bg1"/>
              </a:solidFill>
              <a:latin typeface="Aptos Narrow"/>
            </a:rPr>
            <a:pPr algn="ctr"/>
            <a:t>Gastos de Manutencion</a:t>
          </a:fld>
          <a:endParaRPr lang="es-419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152399</xdr:colOff>
      <xdr:row>38</xdr:row>
      <xdr:rowOff>85726</xdr:rowOff>
    </xdr:from>
    <xdr:to>
      <xdr:col>3</xdr:col>
      <xdr:colOff>428399</xdr:colOff>
      <xdr:row>39</xdr:row>
      <xdr:rowOff>161926</xdr:rowOff>
    </xdr:to>
    <xdr:sp macro="" textlink="Analisis!AD5">
      <xdr:nvSpPr>
        <xdr:cNvPr id="65" name="Rectángul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1200149" y="7620001"/>
          <a:ext cx="18000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80AA2F1-7549-4908-974A-654F5FC6E6F6}" type="TxLink">
            <a:rPr lang="en-US" sz="2800" b="1" i="0" u="none" strike="noStrike">
              <a:solidFill>
                <a:schemeClr val="bg1"/>
              </a:solidFill>
              <a:latin typeface="Aptos Narrow"/>
            </a:rPr>
            <a:pPr algn="ctr"/>
            <a:t>£1,643.00</a:t>
          </a:fld>
          <a:endParaRPr lang="es-419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253363</xdr:colOff>
      <xdr:row>33</xdr:row>
      <xdr:rowOff>228601</xdr:rowOff>
    </xdr:from>
    <xdr:to>
      <xdr:col>6</xdr:col>
      <xdr:colOff>167638</xdr:colOff>
      <xdr:row>40</xdr:row>
      <xdr:rowOff>142875</xdr:rowOff>
    </xdr:to>
    <xdr:sp macro="" textlink="">
      <xdr:nvSpPr>
        <xdr:cNvPr id="57" name="Diagrama de flujo: proceso alternativ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3587113" y="6677026"/>
          <a:ext cx="1438275" cy="1381124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4</xdr:col>
      <xdr:colOff>196214</xdr:colOff>
      <xdr:row>36</xdr:row>
      <xdr:rowOff>76201</xdr:rowOff>
    </xdr:from>
    <xdr:to>
      <xdr:col>6</xdr:col>
      <xdr:colOff>215264</xdr:colOff>
      <xdr:row>37</xdr:row>
      <xdr:rowOff>152401</xdr:rowOff>
    </xdr:to>
    <xdr:sp macro="" textlink="Analisis!AC8">
      <xdr:nvSpPr>
        <xdr:cNvPr id="66" name="Rectángul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3529964" y="7229476"/>
          <a:ext cx="15430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8D1E82-5486-4A39-B57C-A04DE36511FF}" type="TxLink">
            <a:rPr lang="en-US" sz="1800" b="1" i="0" u="none" strike="noStrike">
              <a:solidFill>
                <a:schemeClr val="bg1"/>
              </a:solidFill>
              <a:latin typeface="Aptos Narrow"/>
            </a:rPr>
            <a:pPr algn="ctr"/>
            <a:t>Salir a Cenar</a:t>
          </a:fld>
          <a:endParaRPr lang="es-419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81912</xdr:colOff>
      <xdr:row>38</xdr:row>
      <xdr:rowOff>95251</xdr:rowOff>
    </xdr:from>
    <xdr:to>
      <xdr:col>6</xdr:col>
      <xdr:colOff>357912</xdr:colOff>
      <xdr:row>39</xdr:row>
      <xdr:rowOff>171451</xdr:rowOff>
    </xdr:to>
    <xdr:sp macro="" textlink="Analisis!AD8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3415662" y="7629526"/>
          <a:ext cx="18000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105100-6E77-4524-8CDD-75F44FECD022}" type="TxLink">
            <a:rPr lang="en-US" sz="2800" b="1" i="0" u="none" strike="noStrike">
              <a:solidFill>
                <a:schemeClr val="bg1"/>
              </a:solidFill>
              <a:latin typeface="Aptos Narrow"/>
            </a:rPr>
            <a:pPr algn="ctr"/>
            <a:t>£243.20</a:t>
          </a:fld>
          <a:endParaRPr lang="es-419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739138</xdr:colOff>
      <xdr:row>34</xdr:row>
      <xdr:rowOff>28575</xdr:rowOff>
    </xdr:from>
    <xdr:to>
      <xdr:col>5</xdr:col>
      <xdr:colOff>462913</xdr:colOff>
      <xdr:row>36</xdr:row>
      <xdr:rowOff>95250</xdr:rowOff>
    </xdr:to>
    <xdr:pic>
      <xdr:nvPicPr>
        <xdr:cNvPr id="77" name="Gráfico 76" descr="Mesa y sillas con relleno sólido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072888" y="6762750"/>
          <a:ext cx="485775" cy="485775"/>
        </a:xfrm>
        <a:prstGeom prst="rect">
          <a:avLst/>
        </a:prstGeom>
      </xdr:spPr>
    </xdr:pic>
    <xdr:clientData/>
  </xdr:twoCellAnchor>
  <xdr:twoCellAnchor>
    <xdr:from>
      <xdr:col>6</xdr:col>
      <xdr:colOff>725803</xdr:colOff>
      <xdr:row>33</xdr:row>
      <xdr:rowOff>228601</xdr:rowOff>
    </xdr:from>
    <xdr:to>
      <xdr:col>8</xdr:col>
      <xdr:colOff>640078</xdr:colOff>
      <xdr:row>40</xdr:row>
      <xdr:rowOff>142875</xdr:rowOff>
    </xdr:to>
    <xdr:sp macro="" textlink="">
      <xdr:nvSpPr>
        <xdr:cNvPr id="58" name="Diagrama de flujo: proceso alternativ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583553" y="6677026"/>
          <a:ext cx="1438275" cy="1381124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6</xdr:col>
      <xdr:colOff>697229</xdr:colOff>
      <xdr:row>36</xdr:row>
      <xdr:rowOff>76201</xdr:rowOff>
    </xdr:from>
    <xdr:to>
      <xdr:col>8</xdr:col>
      <xdr:colOff>716279</xdr:colOff>
      <xdr:row>37</xdr:row>
      <xdr:rowOff>152401</xdr:rowOff>
    </xdr:to>
    <xdr:sp macro="" textlink="Analisis!AC9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5554979" y="7229476"/>
          <a:ext cx="15430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7E29CC-A210-478C-951D-F416C804D71B}" type="TxLink">
            <a:rPr lang="en-US" sz="1800" b="1" i="0" u="none" strike="noStrike">
              <a:solidFill>
                <a:schemeClr val="bg1"/>
              </a:solidFill>
              <a:latin typeface="Aptos Narrow"/>
            </a:rPr>
            <a:pPr algn="ctr"/>
            <a:t>Medicina</a:t>
          </a:fld>
          <a:endParaRPr lang="es-419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582927</xdr:colOff>
      <xdr:row>38</xdr:row>
      <xdr:rowOff>95251</xdr:rowOff>
    </xdr:from>
    <xdr:to>
      <xdr:col>9</xdr:col>
      <xdr:colOff>96927</xdr:colOff>
      <xdr:row>39</xdr:row>
      <xdr:rowOff>171451</xdr:rowOff>
    </xdr:to>
    <xdr:sp macro="" textlink="Analisis!AD9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440677" y="7629526"/>
          <a:ext cx="18000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D8AEDA-CD7F-4B60-BF89-A0622056B0E6}" type="TxLink">
            <a:rPr lang="en-US" sz="2800" b="1" i="0" u="none" strike="noStrike">
              <a:solidFill>
                <a:schemeClr val="bg1"/>
              </a:solidFill>
              <a:latin typeface="Aptos Narrow"/>
            </a:rPr>
            <a:pPr algn="ctr"/>
            <a:t>£75.00</a:t>
          </a:fld>
          <a:endParaRPr lang="es-419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430528</xdr:colOff>
      <xdr:row>34</xdr:row>
      <xdr:rowOff>9525</xdr:rowOff>
    </xdr:from>
    <xdr:to>
      <xdr:col>8</xdr:col>
      <xdr:colOff>135253</xdr:colOff>
      <xdr:row>36</xdr:row>
      <xdr:rowOff>57150</xdr:rowOff>
    </xdr:to>
    <xdr:pic>
      <xdr:nvPicPr>
        <xdr:cNvPr id="79" name="Gráfico 78" descr="Vale con relleno sólido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050278" y="6743700"/>
          <a:ext cx="466725" cy="466725"/>
        </a:xfrm>
        <a:prstGeom prst="rect">
          <a:avLst/>
        </a:prstGeom>
      </xdr:spPr>
    </xdr:pic>
    <xdr:clientData/>
  </xdr:twoCellAnchor>
  <xdr:twoCellAnchor>
    <xdr:from>
      <xdr:col>9</xdr:col>
      <xdr:colOff>521968</xdr:colOff>
      <xdr:row>33</xdr:row>
      <xdr:rowOff>228601</xdr:rowOff>
    </xdr:from>
    <xdr:to>
      <xdr:col>11</xdr:col>
      <xdr:colOff>436243</xdr:colOff>
      <xdr:row>40</xdr:row>
      <xdr:rowOff>142875</xdr:rowOff>
    </xdr:to>
    <xdr:sp macro="" textlink="">
      <xdr:nvSpPr>
        <xdr:cNvPr id="59" name="Diagrama de flujo: proceso alternativo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665718" y="6677026"/>
          <a:ext cx="1438275" cy="1381124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9</xdr:col>
      <xdr:colOff>436244</xdr:colOff>
      <xdr:row>36</xdr:row>
      <xdr:rowOff>76201</xdr:rowOff>
    </xdr:from>
    <xdr:to>
      <xdr:col>11</xdr:col>
      <xdr:colOff>455294</xdr:colOff>
      <xdr:row>37</xdr:row>
      <xdr:rowOff>152401</xdr:rowOff>
    </xdr:to>
    <xdr:sp macro="" textlink="Analisis!AC10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579994" y="7229476"/>
          <a:ext cx="15430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2144709-8DA8-484F-BE1D-47FA892ABA94}" type="TxLink">
            <a:rPr lang="en-US" sz="1800" b="1" i="0" u="none" strike="noStrike">
              <a:solidFill>
                <a:schemeClr val="bg1"/>
              </a:solidFill>
              <a:latin typeface="Aptos Narrow"/>
            </a:rPr>
            <a:pPr algn="ctr"/>
            <a:t>Caridad</a:t>
          </a:fld>
          <a:endParaRPr lang="es-419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321942</xdr:colOff>
      <xdr:row>38</xdr:row>
      <xdr:rowOff>95251</xdr:rowOff>
    </xdr:from>
    <xdr:to>
      <xdr:col>11</xdr:col>
      <xdr:colOff>597942</xdr:colOff>
      <xdr:row>39</xdr:row>
      <xdr:rowOff>171451</xdr:rowOff>
    </xdr:to>
    <xdr:sp macro="" textlink="Analisis!AD10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7465692" y="7629526"/>
          <a:ext cx="18000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31394FF-72B4-433B-898C-B2DAC7D72FF6}" type="TxLink">
            <a:rPr lang="en-US" sz="2800" b="1" i="0" u="none" strike="noStrike">
              <a:solidFill>
                <a:schemeClr val="bg1"/>
              </a:solidFill>
              <a:latin typeface="Aptos Narrow"/>
            </a:rPr>
            <a:pPr algn="ctr"/>
            <a:t>£55.00</a:t>
          </a:fld>
          <a:endParaRPr lang="en-US" sz="2800" b="1" i="0" u="none" strike="noStrike">
            <a:solidFill>
              <a:schemeClr val="bg1"/>
            </a:solidFill>
            <a:latin typeface="Aptos Narrow"/>
          </a:endParaRPr>
        </a:p>
      </xdr:txBody>
    </xdr:sp>
    <xdr:clientData/>
  </xdr:twoCellAnchor>
  <xdr:twoCellAnchor>
    <xdr:from>
      <xdr:col>10</xdr:col>
      <xdr:colOff>245743</xdr:colOff>
      <xdr:row>34</xdr:row>
      <xdr:rowOff>47625</xdr:rowOff>
    </xdr:from>
    <xdr:to>
      <xdr:col>10</xdr:col>
      <xdr:colOff>721993</xdr:colOff>
      <xdr:row>36</xdr:row>
      <xdr:rowOff>104775</xdr:rowOff>
    </xdr:to>
    <xdr:pic>
      <xdr:nvPicPr>
        <xdr:cNvPr id="81" name="Gráfico 80" descr="Botiquín de primeros auxilios con relleno sólido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8151493" y="6781800"/>
          <a:ext cx="476250" cy="476250"/>
        </a:xfrm>
        <a:prstGeom prst="rect">
          <a:avLst/>
        </a:prstGeom>
      </xdr:spPr>
    </xdr:pic>
    <xdr:clientData/>
  </xdr:twoCellAnchor>
  <xdr:twoCellAnchor>
    <xdr:from>
      <xdr:col>12</xdr:col>
      <xdr:colOff>251458</xdr:colOff>
      <xdr:row>33</xdr:row>
      <xdr:rowOff>228601</xdr:rowOff>
    </xdr:from>
    <xdr:to>
      <xdr:col>14</xdr:col>
      <xdr:colOff>165733</xdr:colOff>
      <xdr:row>40</xdr:row>
      <xdr:rowOff>142875</xdr:rowOff>
    </xdr:to>
    <xdr:sp macro="" textlink="">
      <xdr:nvSpPr>
        <xdr:cNvPr id="60" name="Diagrama de flujo: proceso alternativo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9681208" y="6677026"/>
          <a:ext cx="1438275" cy="1381124"/>
        </a:xfrm>
        <a:prstGeom prst="flowChartAlternateProcess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12</xdr:col>
      <xdr:colOff>175259</xdr:colOff>
      <xdr:row>36</xdr:row>
      <xdr:rowOff>76201</xdr:rowOff>
    </xdr:from>
    <xdr:to>
      <xdr:col>14</xdr:col>
      <xdr:colOff>194309</xdr:colOff>
      <xdr:row>37</xdr:row>
      <xdr:rowOff>152401</xdr:rowOff>
    </xdr:to>
    <xdr:sp macro="" textlink="Analisis!AC6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9605009" y="7229476"/>
          <a:ext cx="15430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7DC417-106B-434A-BD4C-9EEF1633AEE0}" type="TxLink">
            <a:rPr lang="en-US" sz="1800" b="1" i="0" u="none" strike="noStrike">
              <a:solidFill>
                <a:schemeClr val="bg1"/>
              </a:solidFill>
              <a:latin typeface="Aptos Narrow"/>
            </a:rPr>
            <a:pPr algn="ctr"/>
            <a:t>Opcional</a:t>
          </a:fld>
          <a:endParaRPr lang="es-419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60957</xdr:colOff>
      <xdr:row>38</xdr:row>
      <xdr:rowOff>95251</xdr:rowOff>
    </xdr:from>
    <xdr:to>
      <xdr:col>14</xdr:col>
      <xdr:colOff>336957</xdr:colOff>
      <xdr:row>39</xdr:row>
      <xdr:rowOff>171451</xdr:rowOff>
    </xdr:to>
    <xdr:sp macro="" textlink="Analisis!AD6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9490707" y="7629526"/>
          <a:ext cx="18000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2198848-BB74-4E0D-836A-509F4A6FEAC7}" type="TxLink">
            <a:rPr lang="en-US" sz="2800" b="1" i="0" u="none" strike="noStrike">
              <a:solidFill>
                <a:schemeClr val="bg1"/>
              </a:solidFill>
              <a:latin typeface="Aptos Narrow"/>
            </a:rPr>
            <a:pPr algn="ctr"/>
            <a:t>£742.70</a:t>
          </a:fld>
          <a:endParaRPr lang="es-419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708658</xdr:colOff>
      <xdr:row>34</xdr:row>
      <xdr:rowOff>19050</xdr:rowOff>
    </xdr:from>
    <xdr:to>
      <xdr:col>13</xdr:col>
      <xdr:colOff>432433</xdr:colOff>
      <xdr:row>36</xdr:row>
      <xdr:rowOff>85725</xdr:rowOff>
    </xdr:to>
    <xdr:pic>
      <xdr:nvPicPr>
        <xdr:cNvPr id="83" name="Gráfico 82" descr="Bolsa para la compra con relleno sólido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0138408" y="6753225"/>
          <a:ext cx="485775" cy="485775"/>
        </a:xfrm>
        <a:prstGeom prst="rect">
          <a:avLst/>
        </a:prstGeom>
      </xdr:spPr>
    </xdr:pic>
    <xdr:clientData/>
  </xdr:twoCellAnchor>
  <xdr:twoCellAnchor>
    <xdr:from>
      <xdr:col>14</xdr:col>
      <xdr:colOff>723900</xdr:colOff>
      <xdr:row>33</xdr:row>
      <xdr:rowOff>228601</xdr:rowOff>
    </xdr:from>
    <xdr:to>
      <xdr:col>16</xdr:col>
      <xdr:colOff>638175</xdr:colOff>
      <xdr:row>40</xdr:row>
      <xdr:rowOff>142875</xdr:rowOff>
    </xdr:to>
    <xdr:sp macro="" textlink="">
      <xdr:nvSpPr>
        <xdr:cNvPr id="61" name="Diagrama de flujo: proceso alternativ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11677650" y="6677026"/>
          <a:ext cx="1438275" cy="1381124"/>
        </a:xfrm>
        <a:prstGeom prst="flowChartAlternateProcess">
          <a:avLst/>
        </a:prstGeom>
        <a:solidFill>
          <a:srgbClr val="FF5757"/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14</xdr:col>
      <xdr:colOff>676276</xdr:colOff>
      <xdr:row>36</xdr:row>
      <xdr:rowOff>76201</xdr:rowOff>
    </xdr:from>
    <xdr:to>
      <xdr:col>16</xdr:col>
      <xdr:colOff>695326</xdr:colOff>
      <xdr:row>37</xdr:row>
      <xdr:rowOff>152401</xdr:rowOff>
    </xdr:to>
    <xdr:sp macro="" textlink="Analisis!AC7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1630026" y="7229476"/>
          <a:ext cx="15430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6CD919-9C40-4172-9725-256C8E7041D1}" type="TxLink">
            <a:rPr lang="en-US" sz="1800" b="1" i="0" u="none" strike="noStrike">
              <a:solidFill>
                <a:schemeClr val="bg1"/>
              </a:solidFill>
              <a:latin typeface="Aptos Narrow"/>
            </a:rPr>
            <a:pPr algn="ctr"/>
            <a:t>Transporte</a:t>
          </a:fld>
          <a:endParaRPr lang="es-419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561974</xdr:colOff>
      <xdr:row>38</xdr:row>
      <xdr:rowOff>95251</xdr:rowOff>
    </xdr:from>
    <xdr:to>
      <xdr:col>17</xdr:col>
      <xdr:colOff>75974</xdr:colOff>
      <xdr:row>39</xdr:row>
      <xdr:rowOff>171451</xdr:rowOff>
    </xdr:to>
    <xdr:sp macro="" textlink="Analisis!AD7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11515724" y="7629526"/>
          <a:ext cx="18000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D48D8C0-B217-4CFF-B48A-51A0722CD551}" type="TxLink">
            <a:rPr lang="en-US" sz="2800" b="1" i="0" u="none" strike="noStrike">
              <a:solidFill>
                <a:schemeClr val="bg1"/>
              </a:solidFill>
              <a:latin typeface="Aptos Narrow"/>
            </a:rPr>
            <a:pPr algn="ctr"/>
            <a:t>£357.20</a:t>
          </a:fld>
          <a:endParaRPr lang="en-US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57150</xdr:colOff>
      <xdr:row>4</xdr:row>
      <xdr:rowOff>85725</xdr:rowOff>
    </xdr:from>
    <xdr:to>
      <xdr:col>20</xdr:col>
      <xdr:colOff>981075</xdr:colOff>
      <xdr:row>40</xdr:row>
      <xdr:rowOff>152400</xdr:rowOff>
    </xdr:to>
    <xdr:sp macro="" textlink="">
      <xdr:nvSpPr>
        <xdr:cNvPr id="94" name="Rectángulo: esquinas redondeadas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13296900" y="914400"/>
          <a:ext cx="3209925" cy="7153275"/>
        </a:xfrm>
        <a:prstGeom prst="roundRect">
          <a:avLst>
            <a:gd name="adj" fmla="val 2294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xdr:twoCellAnchor>
    <xdr:from>
      <xdr:col>15</xdr:col>
      <xdr:colOff>390525</xdr:colOff>
      <xdr:row>34</xdr:row>
      <xdr:rowOff>9525</xdr:rowOff>
    </xdr:from>
    <xdr:to>
      <xdr:col>16</xdr:col>
      <xdr:colOff>114300</xdr:colOff>
      <xdr:row>36</xdr:row>
      <xdr:rowOff>76200</xdr:rowOff>
    </xdr:to>
    <xdr:pic>
      <xdr:nvPicPr>
        <xdr:cNvPr id="85" name="Gráfico 84" descr="Taxi con relleno sólido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106275" y="6743700"/>
          <a:ext cx="485775" cy="485775"/>
        </a:xfrm>
        <a:prstGeom prst="rect">
          <a:avLst/>
        </a:prstGeom>
      </xdr:spPr>
    </xdr:pic>
    <xdr:clientData/>
  </xdr:twoCellAnchor>
  <xdr:twoCellAnchor>
    <xdr:from>
      <xdr:col>19</xdr:col>
      <xdr:colOff>209550</xdr:colOff>
      <xdr:row>24</xdr:row>
      <xdr:rowOff>152400</xdr:rowOff>
    </xdr:from>
    <xdr:to>
      <xdr:col>20</xdr:col>
      <xdr:colOff>885825</xdr:colOff>
      <xdr:row>26</xdr:row>
      <xdr:rowOff>66675</xdr:rowOff>
    </xdr:to>
    <xdr:sp macro="" textlink="">
      <xdr:nvSpPr>
        <xdr:cNvPr id="92" name="Diagrama de flujo: proceso alternativo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>
          <a:off x="14973300" y="4886325"/>
          <a:ext cx="1438275" cy="295275"/>
        </a:xfrm>
        <a:prstGeom prst="flowChartAlternateProcess">
          <a:avLst/>
        </a:prstGeom>
        <a:solidFill>
          <a:srgbClr val="FF5757"/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25</xdr:row>
          <xdr:rowOff>28575</xdr:rowOff>
        </xdr:from>
        <xdr:to>
          <xdr:col>20</xdr:col>
          <xdr:colOff>600075</xdr:colOff>
          <xdr:row>26</xdr:row>
          <xdr:rowOff>47625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Expenses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123825</xdr:colOff>
          <xdr:row>25</xdr:row>
          <xdr:rowOff>38100</xdr:rowOff>
        </xdr:from>
        <xdr:to>
          <xdr:col>21</xdr:col>
          <xdr:colOff>190500</xdr:colOff>
          <xdr:row>26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Amount</a:t>
              </a:r>
            </a:p>
          </xdr:txBody>
        </xdr:sp>
        <xdr:clientData/>
      </xdr:twoCellAnchor>
    </mc:Choice>
    <mc:Fallback/>
  </mc:AlternateContent>
  <xdr:twoCellAnchor editAs="oneCell">
    <xdr:from>
      <xdr:col>17</xdr:col>
      <xdr:colOff>133350</xdr:colOff>
      <xdr:row>15</xdr:row>
      <xdr:rowOff>19050</xdr:rowOff>
    </xdr:from>
    <xdr:to>
      <xdr:col>20</xdr:col>
      <xdr:colOff>876300</xdr:colOff>
      <xdr:row>21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5" name="Category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3100" y="3038475"/>
              <a:ext cx="302895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133350</xdr:colOff>
      <xdr:row>7</xdr:row>
      <xdr:rowOff>38100</xdr:rowOff>
    </xdr:from>
    <xdr:to>
      <xdr:col>20</xdr:col>
      <xdr:colOff>914400</xdr:colOff>
      <xdr:row>14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6" name="NumeroMes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umero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3100" y="1533525"/>
              <a:ext cx="3067050" cy="1304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171450</xdr:colOff>
      <xdr:row>1</xdr:row>
      <xdr:rowOff>28575</xdr:rowOff>
    </xdr:from>
    <xdr:to>
      <xdr:col>20</xdr:col>
      <xdr:colOff>752475</xdr:colOff>
      <xdr:row>3</xdr:row>
      <xdr:rowOff>228600</xdr:rowOff>
    </xdr:to>
    <xdr:pic macro="[0]!Clear_Filter">
      <xdr:nvPicPr>
        <xdr:cNvPr id="98" name="Gráfico 97" descr="Basura con relleno sólido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697200" y="219075"/>
          <a:ext cx="581025" cy="581025"/>
        </a:xfrm>
        <a:prstGeom prst="rect">
          <a:avLst/>
        </a:prstGeom>
      </xdr:spPr>
    </xdr:pic>
    <xdr:clientData/>
  </xdr:twoCellAnchor>
  <xdr:twoCellAnchor>
    <xdr:from>
      <xdr:col>17</xdr:col>
      <xdr:colOff>304800</xdr:colOff>
      <xdr:row>5</xdr:row>
      <xdr:rowOff>123825</xdr:rowOff>
    </xdr:from>
    <xdr:to>
      <xdr:col>20</xdr:col>
      <xdr:colOff>409575</xdr:colOff>
      <xdr:row>7</xdr:row>
      <xdr:rowOff>9525</xdr:rowOff>
    </xdr:to>
    <xdr:sp macro="" textlink="Analisis!AW6">
      <xdr:nvSpPr>
        <xdr:cNvPr id="99" name="Rectá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13544550" y="1238250"/>
          <a:ext cx="239077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96C1284-5BF1-4665-A4DD-798C20873F97}" type="TxLink">
            <a:rPr lang="en-US" sz="1800" b="0" i="0" u="none" strike="noStrike">
              <a:solidFill>
                <a:schemeClr val="bg1"/>
              </a:solidFill>
              <a:latin typeface="Aptos Narrow"/>
            </a:rPr>
            <a:pPr algn="l"/>
            <a:t>mayo</a:t>
          </a:fld>
          <a:endParaRPr lang="es-419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95250</xdr:colOff>
      <xdr:row>4</xdr:row>
      <xdr:rowOff>123825</xdr:rowOff>
    </xdr:from>
    <xdr:to>
      <xdr:col>17</xdr:col>
      <xdr:colOff>419100</xdr:colOff>
      <xdr:row>5</xdr:row>
      <xdr:rowOff>161925</xdr:rowOff>
    </xdr:to>
    <xdr:pic>
      <xdr:nvPicPr>
        <xdr:cNvPr id="101" name="Gráfico 100" descr="Filtro contorno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13335000" y="952500"/>
          <a:ext cx="323850" cy="323850"/>
        </a:xfrm>
        <a:prstGeom prst="rect">
          <a:avLst/>
        </a:prstGeom>
      </xdr:spPr>
    </xdr:pic>
    <xdr:clientData/>
  </xdr:twoCellAnchor>
  <xdr:twoCellAnchor>
    <xdr:from>
      <xdr:col>17</xdr:col>
      <xdr:colOff>190500</xdr:colOff>
      <xdr:row>4</xdr:row>
      <xdr:rowOff>180975</xdr:rowOff>
    </xdr:from>
    <xdr:to>
      <xdr:col>18</xdr:col>
      <xdr:colOff>342901</xdr:colOff>
      <xdr:row>5</xdr:row>
      <xdr:rowOff>161925</xdr:rowOff>
    </xdr:to>
    <xdr:sp macro="" textlink="">
      <xdr:nvSpPr>
        <xdr:cNvPr id="102" name="Rectá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13430250" y="1009650"/>
          <a:ext cx="914401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/>
            <a:t>Filtros</a:t>
          </a:r>
        </a:p>
        <a:p>
          <a:pPr algn="ctr"/>
          <a:endParaRPr lang="es-419" sz="1600"/>
        </a:p>
      </xdr:txBody>
    </xdr:sp>
    <xdr:clientData/>
  </xdr:twoCellAnchor>
  <xdr:twoCellAnchor>
    <xdr:from>
      <xdr:col>17</xdr:col>
      <xdr:colOff>142875</xdr:colOff>
      <xdr:row>6</xdr:row>
      <xdr:rowOff>180975</xdr:rowOff>
    </xdr:from>
    <xdr:to>
      <xdr:col>20</xdr:col>
      <xdr:colOff>152400</xdr:colOff>
      <xdr:row>7</xdr:row>
      <xdr:rowOff>0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 flipV="1">
          <a:off x="13382625" y="1485900"/>
          <a:ext cx="2295525" cy="9525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276225</xdr:colOff>
      <xdr:row>27</xdr:row>
      <xdr:rowOff>76200</xdr:rowOff>
    </xdr:from>
    <xdr:to>
      <xdr:col>20</xdr:col>
      <xdr:colOff>790575</xdr:colOff>
      <xdr:row>40</xdr:row>
      <xdr:rowOff>38100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Pozo" refreshedDate="45429.941928472224" createdVersion="8" refreshedVersion="8" minRefreshableVersion="3" recordCount="486" xr:uid="{6D863703-8618-405C-A8EB-538F3F469FAB}">
  <cacheSource type="worksheet">
    <worksheetSource name="Tabla1"/>
  </cacheSource>
  <cacheFields count="11">
    <cacheField name="Date" numFmtId="14">
      <sharedItems containsSemiMixedTypes="0" containsNonDate="0" containsDate="1" containsString="0" minDate="2021-01-04T00:00:00" maxDate="2024-11-01T00:00:00" count="544">
        <d v="2024-01-04T00:00:00"/>
        <d v="2024-01-05T00:00:00"/>
        <d v="2024-01-06T00:00:00"/>
        <d v="2024-01-07T00:00:00"/>
        <d v="2024-01-08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3-01T00:00:00"/>
        <d v="2024-03-02T00:00:00"/>
        <d v="2024-03-03T00:00:00"/>
        <d v="2024-03-04T00:00:00"/>
        <d v="2024-03-05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4T00:00:00"/>
        <d v="2024-05-05T00:00:00"/>
        <d v="2024-05-06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1T00:00:00"/>
        <d v="2024-05-30T00:00:00"/>
        <d v="2024-06-01T00:00:00"/>
        <d v="2024-06-03T00:00:00"/>
        <d v="2024-06-04T00:00:00"/>
        <d v="2024-06-05T00:00:00"/>
        <d v="2024-06-06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5T00:00:00"/>
        <d v="2024-07-06T00:00:00"/>
        <d v="2024-07-07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2T00:00:00"/>
        <d v="2024-08-03T00:00:00"/>
        <d v="2024-08-05T00:00:00"/>
        <d v="2024-08-06T00:00:00"/>
        <d v="2024-08-07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2T00:00:00"/>
        <d v="2024-09-03T00:00:00"/>
        <d v="2024-09-05T00:00:00"/>
        <d v="2024-09-06T00:00:00"/>
        <d v="2024-09-07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3T00:00:00"/>
        <d v="2024-10-04T00:00:00"/>
        <d v="2024-10-06T00:00:00"/>
        <d v="2024-10-07T00:00:00"/>
        <d v="2024-10-08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1-01-04T00:00:00" u="1"/>
        <d v="2021-01-05T00:00:00" u="1"/>
        <d v="2021-01-06T00:00:00" u="1"/>
        <d v="2021-01-07T00:00:00" u="1"/>
        <d v="2021-01-08T00:00:00" u="1"/>
        <d v="2021-01-11T00:00:00" u="1"/>
        <d v="2021-01-12T00:00:00" u="1"/>
        <d v="2021-01-13T00:00:00" u="1"/>
        <d v="2021-01-14T00:00:00" u="1"/>
        <d v="2021-01-15T00:00:00" u="1"/>
        <d v="2021-01-16T00:00:00" u="1"/>
        <d v="2021-01-17T00:00:00" u="1"/>
        <d v="2021-01-18T00:00:00" u="1"/>
        <d v="2021-01-19T00:00:00" u="1"/>
        <d v="2021-01-20T00:00:00" u="1"/>
        <d v="2021-01-21T00:00:00" u="1"/>
        <d v="2021-01-22T00:00:00" u="1"/>
        <d v="2021-01-23T00:00:00" u="1"/>
        <d v="2021-01-24T00:00:00" u="1"/>
        <d v="2021-01-25T00:00:00" u="1"/>
        <d v="2021-01-26T00:00:00" u="1"/>
        <d v="2021-01-27T00:00:00" u="1"/>
        <d v="2021-01-28T00:00:00" u="1"/>
        <d v="2021-01-29T00:00:00" u="1"/>
        <d v="2021-01-30T00:00:00" u="1"/>
        <d v="2021-01-31T00:00:00" u="1"/>
        <d v="2021-02-01T00:00:00" u="1"/>
        <d v="2021-02-02T00:00:00" u="1"/>
        <d v="2021-02-03T00:00:00" u="1"/>
        <d v="2021-02-04T00:00:00" u="1"/>
        <d v="2021-02-05T00:00:00" u="1"/>
        <d v="2021-02-08T00:00:00" u="1"/>
        <d v="2021-02-09T00:00:00" u="1"/>
        <d v="2021-02-10T00:00:00" u="1"/>
        <d v="2021-02-11T00:00:00" u="1"/>
        <d v="2021-02-12T00:00:00" u="1"/>
        <d v="2021-02-13T00:00:00" u="1"/>
        <d v="2021-02-14T00:00:00" u="1"/>
        <d v="2021-02-15T00:00:00" u="1"/>
        <d v="2021-02-16T00:00:00" u="1"/>
        <d v="2021-02-17T00:00:00" u="1"/>
        <d v="2021-02-18T00:00:00" u="1"/>
        <d v="2021-02-19T00:00:00" u="1"/>
        <d v="2021-02-20T00:00:00" u="1"/>
        <d v="2021-02-21T00:00:00" u="1"/>
        <d v="2021-02-22T00:00:00" u="1"/>
        <d v="2021-02-23T00:00:00" u="1"/>
        <d v="2021-02-24T00:00:00" u="1"/>
        <d v="2021-02-25T00:00:00" u="1"/>
        <d v="2021-02-26T00:00:00" u="1"/>
        <d v="2021-02-27T00:00:00" u="1"/>
        <d v="2021-02-28T00:00:00" u="1"/>
        <d v="2021-03-01T00:00:00" u="1"/>
        <d v="2021-03-02T00:00:00" u="1"/>
        <d v="2021-03-03T00:00:00" u="1"/>
        <d v="2021-03-04T00:00:00" u="1"/>
        <d v="2021-03-05T00:00:00" u="1"/>
        <d v="2021-03-08T00:00:00" u="1"/>
        <d v="2021-03-09T00:00:00" u="1"/>
        <d v="2021-03-10T00:00:00" u="1"/>
        <d v="2021-03-11T00:00:00" u="1"/>
        <d v="2021-03-12T00:00:00" u="1"/>
        <d v="2021-03-13T00:00:00" u="1"/>
        <d v="2021-03-14T00:00:00" u="1"/>
        <d v="2021-03-15T00:00:00" u="1"/>
        <d v="2021-03-16T00:00:00" u="1"/>
        <d v="2021-03-17T00:00:00" u="1"/>
        <d v="2021-03-18T00:00:00" u="1"/>
        <d v="2021-03-19T00:00:00" u="1"/>
        <d v="2021-03-20T00:00:00" u="1"/>
        <d v="2021-03-21T00:00:00" u="1"/>
        <d v="2021-03-22T00:00:00" u="1"/>
        <d v="2021-03-23T00:00:00" u="1"/>
        <d v="2021-03-24T00:00:00" u="1"/>
        <d v="2021-03-25T00:00:00" u="1"/>
        <d v="2021-03-26T00:00:00" u="1"/>
        <d v="2021-03-27T00:00:00" u="1"/>
        <d v="2021-03-28T00:00:00" u="1"/>
        <d v="2021-03-29T00:00:00" u="1"/>
        <d v="2021-03-30T00:00:00" u="1"/>
        <d v="2021-03-31T00:00:00" u="1"/>
        <d v="2021-04-01T00:00:00" u="1"/>
        <d v="2021-04-02T00:00:00" u="1"/>
        <d v="2021-04-03T00:00:00" u="1"/>
        <d v="2021-04-04T00:00:00" u="1"/>
        <d v="2021-04-05T00:00:00" u="1"/>
        <d v="2021-04-08T00:00:00" u="1"/>
        <d v="2021-04-09T00:00:00" u="1"/>
        <d v="2021-04-10T00:00:00" u="1"/>
        <d v="2021-04-11T00:00:00" u="1"/>
        <d v="2021-04-12T00:00:00" u="1"/>
        <d v="2021-04-13T00:00:00" u="1"/>
        <d v="2021-04-14T00:00:00" u="1"/>
        <d v="2021-04-15T00:00:00" u="1"/>
        <d v="2021-04-16T00:00:00" u="1"/>
        <d v="2021-04-17T00:00:00" u="1"/>
        <d v="2021-04-18T00:00:00" u="1"/>
        <d v="2021-04-19T00:00:00" u="1"/>
        <d v="2021-04-20T00:00:00" u="1"/>
        <d v="2021-04-21T00:00:00" u="1"/>
        <d v="2021-04-22T00:00:00" u="1"/>
        <d v="2021-04-23T00:00:00" u="1"/>
        <d v="2021-04-24T00:00:00" u="1"/>
        <d v="2021-04-25T00:00:00" u="1"/>
        <d v="2021-04-26T00:00:00" u="1"/>
        <d v="2021-04-27T00:00:00" u="1"/>
        <d v="2021-04-28T00:00:00" u="1"/>
        <d v="2021-04-29T00:00:00" u="1"/>
        <d v="2021-04-30T00:00:00" u="1"/>
        <d v="2021-05-02T00:00:00" u="1"/>
        <d v="2021-05-03T00:00:00" u="1"/>
        <d v="2021-05-04T00:00:00" u="1"/>
        <d v="2021-05-05T00:00:00" u="1"/>
        <d v="2021-05-06T00:00:00" u="1"/>
        <d v="2021-05-09T00:00:00" u="1"/>
        <d v="2021-05-10T00:00:00" u="1"/>
        <d v="2021-05-11T00:00:00" u="1"/>
        <d v="2021-05-12T00:00:00" u="1"/>
        <d v="2021-05-13T00:00:00" u="1"/>
        <d v="2021-05-14T00:00:00" u="1"/>
        <d v="2021-05-15T00:00:00" u="1"/>
        <d v="2021-05-16T00:00:00" u="1"/>
        <d v="2021-05-17T00:00:00" u="1"/>
        <d v="2021-05-18T00:00:00" u="1"/>
        <d v="2021-05-19T00:00:00" u="1"/>
        <d v="2021-05-20T00:00:00" u="1"/>
        <d v="2021-05-21T00:00:00" u="1"/>
        <d v="2021-05-22T00:00:00" u="1"/>
        <d v="2021-05-23T00:00:00" u="1"/>
        <d v="2021-05-24T00:00:00" u="1"/>
        <d v="2021-05-25T00:00:00" u="1"/>
        <d v="2021-05-26T00:00:00" u="1"/>
        <d v="2021-05-27T00:00:00" u="1"/>
        <d v="2021-05-28T00:00:00" u="1"/>
        <d v="2021-05-29T00:00:00" u="1"/>
        <d v="2021-05-31T00:00:00" u="1"/>
        <d v="2021-05-30T00:00:00" u="1"/>
        <d v="2021-06-01T00:00:00" u="1"/>
        <d v="2021-06-03T00:00:00" u="1"/>
        <d v="2021-06-04T00:00:00" u="1"/>
        <d v="2021-06-05T00:00:00" u="1"/>
        <d v="2021-06-06T00:00:00" u="1"/>
        <d v="2021-06-09T00:00:00" u="1"/>
        <d v="2021-06-10T00:00:00" u="1"/>
        <d v="2021-06-11T00:00:00" u="1"/>
        <d v="2021-06-12T00:00:00" u="1"/>
        <d v="2021-06-13T00:00:00" u="1"/>
        <d v="2021-06-14T00:00:00" u="1"/>
        <d v="2021-06-15T00:00:00" u="1"/>
        <d v="2021-06-16T00:00:00" u="1"/>
        <d v="2021-06-17T00:00:00" u="1"/>
        <d v="2021-06-18T00:00:00" u="1"/>
        <d v="2021-06-19T00:00:00" u="1"/>
        <d v="2021-06-20T00:00:00" u="1"/>
        <d v="2021-06-21T00:00:00" u="1"/>
        <d v="2021-06-22T00:00:00" u="1"/>
        <d v="2021-06-23T00:00:00" u="1"/>
        <d v="2021-06-24T00:00:00" u="1"/>
        <d v="2021-06-25T00:00:00" u="1"/>
        <d v="2021-06-26T00:00:00" u="1"/>
        <d v="2021-06-27T00:00:00" u="1"/>
        <d v="2021-06-28T00:00:00" u="1"/>
        <d v="2021-06-29T00:00:00" u="1"/>
        <d v="2021-06-30T00:00:00" u="1"/>
        <d v="2021-07-01T00:00:00" u="1"/>
        <d v="2021-07-02T00:00:00" u="1"/>
        <d v="2021-07-03T00:00:00" u="1"/>
        <d v="2021-07-05T00:00:00" u="1"/>
        <d v="2021-07-06T00:00:00" u="1"/>
        <d v="2021-07-07T00:00:00" u="1"/>
        <d v="2021-07-10T00:00:00" u="1"/>
        <d v="2021-07-11T00:00:00" u="1"/>
        <d v="2021-07-12T00:00:00" u="1"/>
        <d v="2021-07-13T00:00:00" u="1"/>
        <d v="2021-07-14T00:00:00" u="1"/>
        <d v="2021-07-15T00:00:00" u="1"/>
        <d v="2021-07-16T00:00:00" u="1"/>
        <d v="2021-07-17T00:00:00" u="1"/>
        <d v="2021-07-18T00:00:00" u="1"/>
        <d v="2021-07-19T00:00:00" u="1"/>
        <d v="2021-07-20T00:00:00" u="1"/>
        <d v="2021-07-21T00:00:00" u="1"/>
        <d v="2021-07-22T00:00:00" u="1"/>
        <d v="2021-07-23T00:00:00" u="1"/>
        <d v="2021-07-24T00:00:00" u="1"/>
        <d v="2021-07-25T00:00:00" u="1"/>
        <d v="2021-07-26T00:00:00" u="1"/>
        <d v="2021-07-27T00:00:00" u="1"/>
        <d v="2021-07-28T00:00:00" u="1"/>
        <d v="2021-07-29T00:00:00" u="1"/>
        <d v="2021-07-30T00:00:00" u="1"/>
        <d v="2021-07-31T00:00:00" u="1"/>
        <d v="2021-08-02T00:00:00" u="1"/>
        <d v="2021-08-03T00:00:00" u="1"/>
        <d v="2021-08-05T00:00:00" u="1"/>
        <d v="2021-08-06T00:00:00" u="1"/>
        <d v="2021-08-07T00:00:00" u="1"/>
        <d v="2021-08-10T00:00:00" u="1"/>
        <d v="2021-08-11T00:00:00" u="1"/>
        <d v="2021-08-12T00:00:00" u="1"/>
        <d v="2021-08-13T00:00:00" u="1"/>
        <d v="2021-08-14T00:00:00" u="1"/>
        <d v="2021-08-15T00:00:00" u="1"/>
        <d v="2021-08-16T00:00:00" u="1"/>
        <d v="2021-08-17T00:00:00" u="1"/>
        <d v="2021-08-18T00:00:00" u="1"/>
        <d v="2021-08-19T00:00:00" u="1"/>
        <d v="2021-08-20T00:00:00" u="1"/>
        <d v="2021-08-21T00:00:00" u="1"/>
        <d v="2021-08-22T00:00:00" u="1"/>
        <d v="2021-08-23T00:00:00" u="1"/>
        <d v="2021-08-24T00:00:00" u="1"/>
        <d v="2021-08-25T00:00:00" u="1"/>
        <d v="2021-08-26T00:00:00" u="1"/>
        <d v="2021-08-27T00:00:00" u="1"/>
        <d v="2021-08-28T00:00:00" u="1"/>
        <d v="2021-08-29T00:00:00" u="1"/>
        <d v="2021-08-30T00:00:00" u="1"/>
        <d v="2021-08-31T00:00:00" u="1"/>
        <d v="2021-09-02T00:00:00" u="1"/>
        <d v="2021-09-03T00:00:00" u="1"/>
        <d v="2021-09-05T00:00:00" u="1"/>
        <d v="2021-09-06T00:00:00" u="1"/>
        <d v="2021-09-07T00:00:00" u="1"/>
        <d v="2021-09-10T00:00:00" u="1"/>
        <d v="2021-09-11T00:00:00" u="1"/>
        <d v="2021-09-12T00:00:00" u="1"/>
        <d v="2021-09-13T00:00:00" u="1"/>
        <d v="2021-09-14T00:00:00" u="1"/>
        <d v="2021-09-15T00:00:00" u="1"/>
        <d v="2021-09-16T00:00:00" u="1"/>
        <d v="2021-09-17T00:00:00" u="1"/>
        <d v="2021-09-18T00:00:00" u="1"/>
        <d v="2021-09-19T00:00:00" u="1"/>
        <d v="2021-09-20T00:00:00" u="1"/>
        <d v="2021-09-21T00:00:00" u="1"/>
        <d v="2021-09-22T00:00:00" u="1"/>
        <d v="2021-09-23T00:00:00" u="1"/>
        <d v="2021-09-24T00:00:00" u="1"/>
        <d v="2021-09-25T00:00:00" u="1"/>
        <d v="2021-09-26T00:00:00" u="1"/>
        <d v="2021-09-27T00:00:00" u="1"/>
        <d v="2021-09-28T00:00:00" u="1"/>
        <d v="2021-09-29T00:00:00" u="1"/>
        <d v="2021-09-30T00:00:00" u="1"/>
        <d v="2021-10-01T00:00:00" u="1"/>
        <d v="2021-10-03T00:00:00" u="1"/>
        <d v="2021-10-04T00:00:00" u="1"/>
        <d v="2021-10-06T00:00:00" u="1"/>
        <d v="2021-10-07T00:00:00" u="1"/>
        <d v="2021-10-08T00:00:00" u="1"/>
        <d v="2021-10-11T00:00:00" u="1"/>
        <d v="2021-10-12T00:00:00" u="1"/>
        <d v="2021-10-13T00:00:00" u="1"/>
        <d v="2021-10-14T00:00:00" u="1"/>
        <d v="2021-10-15T00:00:00" u="1"/>
        <d v="2021-10-16T00:00:00" u="1"/>
        <d v="2021-10-17T00:00:00" u="1"/>
        <d v="2021-10-18T00:00:00" u="1"/>
        <d v="2021-10-19T00:00:00" u="1"/>
        <d v="2021-10-20T00:00:00" u="1"/>
        <d v="2021-10-21T00:00:00" u="1"/>
        <d v="2021-10-22T00:00:00" u="1"/>
        <d v="2021-10-23T00:00:00" u="1"/>
        <d v="2021-10-24T00:00:00" u="1"/>
        <d v="2021-10-25T00:00:00" u="1"/>
        <d v="2021-10-26T00:00:00" u="1"/>
        <d v="2021-10-27T00:00:00" u="1"/>
        <d v="2021-10-28T00:00:00" u="1"/>
        <d v="2021-10-29T00:00:00" u="1"/>
        <d v="2021-10-30T00:00:00" u="1"/>
        <d v="2021-10-31T00:00:00" u="1"/>
      </sharedItems>
    </cacheField>
    <cacheField name="Description" numFmtId="0">
      <sharedItems/>
    </cacheField>
    <cacheField name="Debit" numFmtId="0">
      <sharedItems containsString="0" containsBlank="1" containsNumber="1" minValue="5" maxValue="900"/>
    </cacheField>
    <cacheField name="Credit" numFmtId="0">
      <sharedItems containsString="0" containsBlank="1" containsNumber="1" containsInteger="1" minValue="100" maxValue="5000"/>
    </cacheField>
    <cacheField name="Sub-category" numFmtId="0">
      <sharedItems count="18">
        <s v="Data with Decision"/>
        <s v="Coffee"/>
        <s v="Rent"/>
        <s v="Cash loan"/>
        <s v="Groceries"/>
        <s v="Gas/Electrics"/>
        <s v="Entertainment"/>
        <s v="Clothes"/>
        <s v="Restaurant"/>
        <s v="Taxi"/>
        <s v="YouTube"/>
        <s v="Teachable"/>
        <s v="Phone"/>
        <s v="Gifts"/>
        <s v="Donation"/>
        <s v="Fueling"/>
        <s v="Doctor"/>
        <s v="Furnishings"/>
      </sharedItems>
    </cacheField>
    <cacheField name="Category" numFmtId="0">
      <sharedItems count="16">
        <s v="Salario"/>
        <s v="Salir a Cenar"/>
        <s v="Gastos de Manutencion"/>
        <s v="Transporte"/>
        <s v="Opcional"/>
        <s v="Pasivos"/>
        <s v="Caridad"/>
        <s v="Medicina"/>
        <s v="Salary" u="1"/>
        <s v="Dining Out" u="1"/>
        <s v="Living Expenses" u="1"/>
        <s v="Transport" u="1"/>
        <s v="Discretionary" u="1"/>
        <s v="Passive" u="1"/>
        <s v="Charity" u="1"/>
        <s v="Medical" u="1"/>
      </sharedItems>
    </cacheField>
    <cacheField name="Category Type" numFmtId="0">
      <sharedItems count="2">
        <s v="Income"/>
        <s v="Expense"/>
      </sharedItems>
    </cacheField>
    <cacheField name="Amount" numFmtId="0">
      <sharedItems containsSemiMixedTypes="0" containsString="0" containsNumber="1" minValue="-900" maxValue="5000"/>
    </cacheField>
    <cacheField name="Mes" numFmtId="0">
      <sharedItems containsMixedTypes="1" containsNumber="1" containsInteger="1" minValue="1" maxValue="10" count="20">
        <s v="enero"/>
        <s v="febrero"/>
        <s v="marzo"/>
        <s v="abril"/>
        <s v="mayo"/>
        <s v="junio"/>
        <s v="julio"/>
        <s v="agosto"/>
        <s v="septiembre"/>
        <s v="octubre"/>
        <n v="1" u="1"/>
        <n v="2" u="1"/>
        <n v="3" u="1"/>
        <n v="4" u="1"/>
        <n v="5" u="1"/>
        <n v="6" u="1"/>
        <n v="7" u="1"/>
        <n v="8" u="1"/>
        <n v="9" u="1"/>
        <n v="10" u="1"/>
      </sharedItems>
    </cacheField>
    <cacheField name="Dia" numFmtId="0">
      <sharedItems containsMixedTypes="1" containsNumber="1" containsInteger="1" minValue="1" maxValue="31" count="38">
        <s v="miércoles"/>
        <s v="jueves"/>
        <s v="viernes"/>
        <s v="sábado"/>
        <s v="domingo"/>
        <s v="lunes"/>
        <s v="martes"/>
        <n v="4" u="1"/>
        <n v="5" u="1"/>
        <n v="6" u="1"/>
        <n v="7" u="1"/>
        <n v="8" u="1"/>
        <n v="11" u="1"/>
        <n v="12" u="1"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28" u="1"/>
        <n v="29" u="1"/>
        <n v="30" u="1"/>
        <n v="31" u="1"/>
        <n v="1" u="1"/>
        <n v="2" u="1"/>
        <n v="3" u="1"/>
        <n v="9" u="1"/>
        <n v="10" u="1"/>
      </sharedItems>
    </cacheField>
    <cacheField name="NumeroMes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 pivotCacheId="305319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6">
  <r>
    <x v="0"/>
    <s v="Data With Decision"/>
    <m/>
    <n v="5000"/>
    <x v="0"/>
    <x v="0"/>
    <x v="0"/>
    <n v="5000"/>
    <x v="0"/>
    <x v="0"/>
    <x v="0"/>
  </r>
  <r>
    <x v="0"/>
    <s v="Drink"/>
    <n v="5"/>
    <m/>
    <x v="1"/>
    <x v="1"/>
    <x v="1"/>
    <n v="-5"/>
    <x v="0"/>
    <x v="0"/>
    <x v="0"/>
  </r>
  <r>
    <x v="1"/>
    <s v="Estate Mangement"/>
    <n v="900"/>
    <m/>
    <x v="2"/>
    <x v="2"/>
    <x v="1"/>
    <n v="-900"/>
    <x v="0"/>
    <x v="1"/>
    <x v="0"/>
  </r>
  <r>
    <x v="1"/>
    <s v="Financail upgrade"/>
    <n v="150"/>
    <m/>
    <x v="3"/>
    <x v="3"/>
    <x v="1"/>
    <n v="-150"/>
    <x v="0"/>
    <x v="1"/>
    <x v="0"/>
  </r>
  <r>
    <x v="1"/>
    <s v="Drink"/>
    <n v="5"/>
    <m/>
    <x v="1"/>
    <x v="1"/>
    <x v="1"/>
    <n v="-5"/>
    <x v="0"/>
    <x v="1"/>
    <x v="0"/>
  </r>
  <r>
    <x v="2"/>
    <s v="Drink"/>
    <n v="5"/>
    <m/>
    <x v="1"/>
    <x v="1"/>
    <x v="1"/>
    <n v="-5"/>
    <x v="0"/>
    <x v="2"/>
    <x v="0"/>
  </r>
  <r>
    <x v="3"/>
    <s v="Drink"/>
    <n v="5"/>
    <m/>
    <x v="1"/>
    <x v="1"/>
    <x v="1"/>
    <n v="-5"/>
    <x v="0"/>
    <x v="3"/>
    <x v="0"/>
  </r>
  <r>
    <x v="4"/>
    <s v="Drink"/>
    <n v="5"/>
    <m/>
    <x v="1"/>
    <x v="1"/>
    <x v="1"/>
    <n v="-5"/>
    <x v="0"/>
    <x v="4"/>
    <x v="0"/>
  </r>
  <r>
    <x v="4"/>
    <s v="Green's"/>
    <n v="155"/>
    <m/>
    <x v="4"/>
    <x v="2"/>
    <x v="1"/>
    <n v="-155"/>
    <x v="0"/>
    <x v="4"/>
    <x v="0"/>
  </r>
  <r>
    <x v="5"/>
    <s v="Power source"/>
    <n v="50"/>
    <m/>
    <x v="5"/>
    <x v="2"/>
    <x v="1"/>
    <n v="-50"/>
    <x v="0"/>
    <x v="0"/>
    <x v="0"/>
  </r>
  <r>
    <x v="5"/>
    <s v="Drink"/>
    <n v="5"/>
    <m/>
    <x v="1"/>
    <x v="1"/>
    <x v="1"/>
    <n v="-5"/>
    <x v="0"/>
    <x v="0"/>
    <x v="0"/>
  </r>
  <r>
    <x v="6"/>
    <s v="Drink"/>
    <n v="5"/>
    <m/>
    <x v="1"/>
    <x v="1"/>
    <x v="1"/>
    <n v="-5"/>
    <x v="0"/>
    <x v="1"/>
    <x v="0"/>
  </r>
  <r>
    <x v="7"/>
    <s v="Fuel"/>
    <n v="77"/>
    <m/>
    <x v="1"/>
    <x v="1"/>
    <x v="1"/>
    <n v="-77"/>
    <x v="0"/>
    <x v="2"/>
    <x v="0"/>
  </r>
  <r>
    <x v="7"/>
    <s v="Drink"/>
    <n v="5"/>
    <m/>
    <x v="1"/>
    <x v="1"/>
    <x v="1"/>
    <n v="-5"/>
    <x v="0"/>
    <x v="2"/>
    <x v="0"/>
  </r>
  <r>
    <x v="8"/>
    <s v="Drink"/>
    <n v="5"/>
    <m/>
    <x v="1"/>
    <x v="1"/>
    <x v="1"/>
    <n v="-5"/>
    <x v="0"/>
    <x v="3"/>
    <x v="0"/>
  </r>
  <r>
    <x v="9"/>
    <s v="Green's"/>
    <n v="135"/>
    <m/>
    <x v="4"/>
    <x v="2"/>
    <x v="1"/>
    <n v="-135"/>
    <x v="0"/>
    <x v="4"/>
    <x v="0"/>
  </r>
  <r>
    <x v="9"/>
    <s v="Drink"/>
    <n v="5"/>
    <m/>
    <x v="1"/>
    <x v="1"/>
    <x v="1"/>
    <n v="-5"/>
    <x v="0"/>
    <x v="4"/>
    <x v="0"/>
  </r>
  <r>
    <x v="10"/>
    <s v="Drink"/>
    <n v="5"/>
    <m/>
    <x v="1"/>
    <x v="1"/>
    <x v="1"/>
    <n v="-5"/>
    <x v="0"/>
    <x v="5"/>
    <x v="0"/>
  </r>
  <r>
    <x v="10"/>
    <s v="Cinemas"/>
    <n v="40"/>
    <m/>
    <x v="6"/>
    <x v="4"/>
    <x v="1"/>
    <n v="-40"/>
    <x v="0"/>
    <x v="5"/>
    <x v="0"/>
  </r>
  <r>
    <x v="10"/>
    <s v="Fashionistas"/>
    <n v="98"/>
    <m/>
    <x v="7"/>
    <x v="4"/>
    <x v="1"/>
    <n v="-98"/>
    <x v="0"/>
    <x v="5"/>
    <x v="0"/>
  </r>
  <r>
    <x v="10"/>
    <s v="Burger"/>
    <n v="52"/>
    <m/>
    <x v="8"/>
    <x v="1"/>
    <x v="1"/>
    <n v="-52"/>
    <x v="0"/>
    <x v="5"/>
    <x v="0"/>
  </r>
  <r>
    <x v="11"/>
    <s v="Uba"/>
    <n v="28"/>
    <m/>
    <x v="9"/>
    <x v="3"/>
    <x v="1"/>
    <n v="-28"/>
    <x v="0"/>
    <x v="6"/>
    <x v="0"/>
  </r>
  <r>
    <x v="12"/>
    <s v="Onlne earning"/>
    <m/>
    <n v="4500"/>
    <x v="10"/>
    <x v="5"/>
    <x v="0"/>
    <n v="4500"/>
    <x v="0"/>
    <x v="0"/>
    <x v="0"/>
  </r>
  <r>
    <x v="12"/>
    <s v="Drink"/>
    <n v="5"/>
    <m/>
    <x v="1"/>
    <x v="1"/>
    <x v="1"/>
    <n v="-5"/>
    <x v="0"/>
    <x v="0"/>
    <x v="0"/>
  </r>
  <r>
    <x v="13"/>
    <s v="Drink"/>
    <n v="5"/>
    <m/>
    <x v="1"/>
    <x v="1"/>
    <x v="1"/>
    <n v="-5"/>
    <x v="0"/>
    <x v="1"/>
    <x v="0"/>
  </r>
  <r>
    <x v="13"/>
    <s v="Onlne earning"/>
    <m/>
    <n v="4500"/>
    <x v="11"/>
    <x v="5"/>
    <x v="0"/>
    <n v="4500"/>
    <x v="0"/>
    <x v="1"/>
    <x v="0"/>
  </r>
  <r>
    <x v="13"/>
    <s v="Phone"/>
    <n v="40"/>
    <m/>
    <x v="12"/>
    <x v="2"/>
    <x v="1"/>
    <n v="-40"/>
    <x v="0"/>
    <x v="1"/>
    <x v="0"/>
  </r>
  <r>
    <x v="14"/>
    <s v="Sallah give away"/>
    <n v="45"/>
    <m/>
    <x v="13"/>
    <x v="4"/>
    <x v="1"/>
    <n v="-45"/>
    <x v="0"/>
    <x v="2"/>
    <x v="0"/>
  </r>
  <r>
    <x v="14"/>
    <s v="Online streaming"/>
    <n v="32"/>
    <m/>
    <x v="6"/>
    <x v="4"/>
    <x v="1"/>
    <n v="-32"/>
    <x v="0"/>
    <x v="2"/>
    <x v="0"/>
  </r>
  <r>
    <x v="14"/>
    <s v="Drink"/>
    <n v="5"/>
    <m/>
    <x v="1"/>
    <x v="1"/>
    <x v="1"/>
    <n v="-5"/>
    <x v="0"/>
    <x v="2"/>
    <x v="0"/>
  </r>
  <r>
    <x v="15"/>
    <s v="Drink"/>
    <n v="5"/>
    <m/>
    <x v="1"/>
    <x v="1"/>
    <x v="1"/>
    <n v="-5"/>
    <x v="0"/>
    <x v="3"/>
    <x v="0"/>
  </r>
  <r>
    <x v="16"/>
    <s v="Drink"/>
    <n v="5"/>
    <m/>
    <x v="1"/>
    <x v="1"/>
    <x v="1"/>
    <n v="-5"/>
    <x v="0"/>
    <x v="4"/>
    <x v="0"/>
  </r>
  <r>
    <x v="16"/>
    <s v="Green's"/>
    <n v="170"/>
    <m/>
    <x v="4"/>
    <x v="2"/>
    <x v="1"/>
    <n v="-170"/>
    <x v="0"/>
    <x v="4"/>
    <x v="0"/>
  </r>
  <r>
    <x v="17"/>
    <s v="Suya"/>
    <n v="37"/>
    <m/>
    <x v="8"/>
    <x v="1"/>
    <x v="1"/>
    <n v="-37"/>
    <x v="0"/>
    <x v="5"/>
    <x v="0"/>
  </r>
  <r>
    <x v="18"/>
    <s v="Oha soup/White soup"/>
    <n v="12"/>
    <m/>
    <x v="8"/>
    <x v="1"/>
    <x v="1"/>
    <n v="-12"/>
    <x v="0"/>
    <x v="6"/>
    <x v="0"/>
  </r>
  <r>
    <x v="19"/>
    <s v="Orphanage"/>
    <n v="55"/>
    <m/>
    <x v="14"/>
    <x v="6"/>
    <x v="1"/>
    <n v="-55"/>
    <x v="0"/>
    <x v="0"/>
    <x v="0"/>
  </r>
  <r>
    <x v="19"/>
    <s v="Fuel"/>
    <n v="63"/>
    <m/>
    <x v="15"/>
    <x v="3"/>
    <x v="1"/>
    <n v="-63"/>
    <x v="0"/>
    <x v="0"/>
    <x v="0"/>
  </r>
  <r>
    <x v="19"/>
    <s v="Drink"/>
    <n v="5"/>
    <m/>
    <x v="1"/>
    <x v="1"/>
    <x v="1"/>
    <n v="-5"/>
    <x v="0"/>
    <x v="0"/>
    <x v="0"/>
  </r>
  <r>
    <x v="20"/>
    <s v="Drink"/>
    <n v="5"/>
    <m/>
    <x v="1"/>
    <x v="1"/>
    <x v="1"/>
    <n v="-5"/>
    <x v="0"/>
    <x v="1"/>
    <x v="0"/>
  </r>
  <r>
    <x v="21"/>
    <s v="Drink"/>
    <n v="5"/>
    <m/>
    <x v="1"/>
    <x v="1"/>
    <x v="1"/>
    <n v="-5"/>
    <x v="0"/>
    <x v="2"/>
    <x v="0"/>
  </r>
  <r>
    <x v="22"/>
    <s v="Drink"/>
    <n v="5"/>
    <m/>
    <x v="1"/>
    <x v="1"/>
    <x v="1"/>
    <n v="-5"/>
    <x v="0"/>
    <x v="3"/>
    <x v="0"/>
  </r>
  <r>
    <x v="23"/>
    <s v="Drink"/>
    <n v="5"/>
    <m/>
    <x v="1"/>
    <x v="1"/>
    <x v="1"/>
    <n v="-5"/>
    <x v="0"/>
    <x v="4"/>
    <x v="0"/>
  </r>
  <r>
    <x v="23"/>
    <s v="Green's"/>
    <n v="162"/>
    <m/>
    <x v="4"/>
    <x v="2"/>
    <x v="1"/>
    <n v="-162"/>
    <x v="0"/>
    <x v="4"/>
    <x v="0"/>
  </r>
  <r>
    <x v="24"/>
    <s v="Trainers"/>
    <n v="125"/>
    <m/>
    <x v="7"/>
    <x v="4"/>
    <x v="1"/>
    <n v="-125"/>
    <x v="0"/>
    <x v="5"/>
    <x v="0"/>
  </r>
  <r>
    <x v="24"/>
    <s v="Hangingout/Ticket"/>
    <n v="175"/>
    <m/>
    <x v="6"/>
    <x v="4"/>
    <x v="1"/>
    <n v="-175"/>
    <x v="0"/>
    <x v="5"/>
    <x v="0"/>
  </r>
  <r>
    <x v="25"/>
    <s v="Fashionistas"/>
    <n v="145"/>
    <m/>
    <x v="7"/>
    <x v="4"/>
    <x v="1"/>
    <n v="-145"/>
    <x v="0"/>
    <x v="6"/>
    <x v="0"/>
  </r>
  <r>
    <x v="25"/>
    <s v="Uba"/>
    <n v="23"/>
    <m/>
    <x v="9"/>
    <x v="3"/>
    <x v="1"/>
    <n v="-23"/>
    <x v="0"/>
    <x v="6"/>
    <x v="0"/>
  </r>
  <r>
    <x v="26"/>
    <s v="Data With Decision"/>
    <m/>
    <n v="5000"/>
    <x v="0"/>
    <x v="0"/>
    <x v="0"/>
    <n v="5000"/>
    <x v="1"/>
    <x v="4"/>
    <x v="1"/>
  </r>
  <r>
    <x v="26"/>
    <s v="Drink"/>
    <n v="5"/>
    <m/>
    <x v="1"/>
    <x v="1"/>
    <x v="1"/>
    <n v="-5"/>
    <x v="1"/>
    <x v="4"/>
    <x v="1"/>
  </r>
  <r>
    <x v="27"/>
    <s v="Estate Mangement"/>
    <n v="900"/>
    <m/>
    <x v="2"/>
    <x v="2"/>
    <x v="1"/>
    <n v="-900"/>
    <x v="1"/>
    <x v="5"/>
    <x v="1"/>
  </r>
  <r>
    <x v="27"/>
    <s v="Financail upgrade"/>
    <n v="150"/>
    <m/>
    <x v="3"/>
    <x v="3"/>
    <x v="1"/>
    <n v="-150"/>
    <x v="1"/>
    <x v="5"/>
    <x v="1"/>
  </r>
  <r>
    <x v="27"/>
    <s v="Drink"/>
    <n v="5"/>
    <m/>
    <x v="1"/>
    <x v="1"/>
    <x v="1"/>
    <n v="-5"/>
    <x v="1"/>
    <x v="5"/>
    <x v="1"/>
  </r>
  <r>
    <x v="28"/>
    <s v="Drink"/>
    <n v="5"/>
    <m/>
    <x v="1"/>
    <x v="1"/>
    <x v="1"/>
    <n v="-5"/>
    <x v="1"/>
    <x v="6"/>
    <x v="1"/>
  </r>
  <r>
    <x v="29"/>
    <s v="Drink"/>
    <n v="5"/>
    <m/>
    <x v="1"/>
    <x v="1"/>
    <x v="1"/>
    <n v="-5"/>
    <x v="1"/>
    <x v="0"/>
    <x v="1"/>
  </r>
  <r>
    <x v="30"/>
    <s v="Drink"/>
    <n v="5"/>
    <m/>
    <x v="1"/>
    <x v="1"/>
    <x v="1"/>
    <n v="-5"/>
    <x v="1"/>
    <x v="1"/>
    <x v="1"/>
  </r>
  <r>
    <x v="30"/>
    <s v="Green's"/>
    <n v="205"/>
    <m/>
    <x v="4"/>
    <x v="2"/>
    <x v="1"/>
    <n v="-205"/>
    <x v="1"/>
    <x v="1"/>
    <x v="1"/>
  </r>
  <r>
    <x v="31"/>
    <s v="Power source"/>
    <n v="51.1"/>
    <m/>
    <x v="5"/>
    <x v="2"/>
    <x v="1"/>
    <n v="-51.1"/>
    <x v="1"/>
    <x v="4"/>
    <x v="1"/>
  </r>
  <r>
    <x v="31"/>
    <s v="Drink"/>
    <n v="5"/>
    <m/>
    <x v="1"/>
    <x v="1"/>
    <x v="1"/>
    <n v="-5"/>
    <x v="1"/>
    <x v="4"/>
    <x v="1"/>
  </r>
  <r>
    <x v="32"/>
    <s v="Drink"/>
    <n v="5"/>
    <m/>
    <x v="1"/>
    <x v="1"/>
    <x v="1"/>
    <n v="-5"/>
    <x v="1"/>
    <x v="5"/>
    <x v="1"/>
  </r>
  <r>
    <x v="33"/>
    <s v="Fuel"/>
    <n v="78"/>
    <m/>
    <x v="15"/>
    <x v="3"/>
    <x v="1"/>
    <n v="-78"/>
    <x v="1"/>
    <x v="6"/>
    <x v="1"/>
  </r>
  <r>
    <x v="33"/>
    <s v="Drink"/>
    <n v="5"/>
    <m/>
    <x v="1"/>
    <x v="1"/>
    <x v="1"/>
    <n v="-5"/>
    <x v="1"/>
    <x v="6"/>
    <x v="1"/>
  </r>
  <r>
    <x v="34"/>
    <s v="Drink"/>
    <n v="5"/>
    <m/>
    <x v="1"/>
    <x v="1"/>
    <x v="1"/>
    <n v="-5"/>
    <x v="1"/>
    <x v="0"/>
    <x v="1"/>
  </r>
  <r>
    <x v="35"/>
    <s v="Green's"/>
    <n v="135.9"/>
    <m/>
    <x v="4"/>
    <x v="2"/>
    <x v="1"/>
    <n v="-135.9"/>
    <x v="1"/>
    <x v="1"/>
    <x v="1"/>
  </r>
  <r>
    <x v="35"/>
    <s v="Drink"/>
    <n v="5"/>
    <m/>
    <x v="1"/>
    <x v="1"/>
    <x v="1"/>
    <n v="-5"/>
    <x v="1"/>
    <x v="1"/>
    <x v="1"/>
  </r>
  <r>
    <x v="36"/>
    <s v="Drink"/>
    <n v="5"/>
    <m/>
    <x v="1"/>
    <x v="1"/>
    <x v="1"/>
    <n v="-5"/>
    <x v="1"/>
    <x v="2"/>
    <x v="1"/>
  </r>
  <r>
    <x v="36"/>
    <s v="Cinemas"/>
    <n v="40.9"/>
    <m/>
    <x v="6"/>
    <x v="4"/>
    <x v="1"/>
    <n v="-40.9"/>
    <x v="1"/>
    <x v="2"/>
    <x v="1"/>
  </r>
  <r>
    <x v="36"/>
    <s v="Fashionistas"/>
    <n v="99"/>
    <m/>
    <x v="7"/>
    <x v="4"/>
    <x v="1"/>
    <n v="-99"/>
    <x v="1"/>
    <x v="2"/>
    <x v="1"/>
  </r>
  <r>
    <x v="36"/>
    <s v="Burger"/>
    <n v="53"/>
    <m/>
    <x v="8"/>
    <x v="1"/>
    <x v="1"/>
    <n v="-53"/>
    <x v="1"/>
    <x v="2"/>
    <x v="1"/>
  </r>
  <r>
    <x v="37"/>
    <s v="Uba"/>
    <n v="28.9"/>
    <m/>
    <x v="9"/>
    <x v="3"/>
    <x v="1"/>
    <n v="-28.9"/>
    <x v="1"/>
    <x v="3"/>
    <x v="1"/>
  </r>
  <r>
    <x v="38"/>
    <s v="Onlne earning"/>
    <m/>
    <n v="800"/>
    <x v="10"/>
    <x v="5"/>
    <x v="0"/>
    <n v="800"/>
    <x v="1"/>
    <x v="4"/>
    <x v="1"/>
  </r>
  <r>
    <x v="38"/>
    <s v="Drink"/>
    <n v="5"/>
    <m/>
    <x v="1"/>
    <x v="1"/>
    <x v="1"/>
    <n v="-5"/>
    <x v="1"/>
    <x v="4"/>
    <x v="1"/>
  </r>
  <r>
    <x v="39"/>
    <s v="Drink"/>
    <n v="5"/>
    <m/>
    <x v="1"/>
    <x v="1"/>
    <x v="1"/>
    <n v="-5"/>
    <x v="1"/>
    <x v="5"/>
    <x v="1"/>
  </r>
  <r>
    <x v="39"/>
    <s v="Phone"/>
    <n v="40"/>
    <m/>
    <x v="12"/>
    <x v="2"/>
    <x v="1"/>
    <n v="-40"/>
    <x v="1"/>
    <x v="5"/>
    <x v="1"/>
  </r>
  <r>
    <x v="40"/>
    <s v="Sallah give away"/>
    <n v="45.9"/>
    <m/>
    <x v="13"/>
    <x v="4"/>
    <x v="1"/>
    <n v="-45.9"/>
    <x v="1"/>
    <x v="6"/>
    <x v="1"/>
  </r>
  <r>
    <x v="40"/>
    <s v="Online streaming"/>
    <n v="35"/>
    <m/>
    <x v="6"/>
    <x v="4"/>
    <x v="1"/>
    <n v="-35"/>
    <x v="1"/>
    <x v="6"/>
    <x v="1"/>
  </r>
  <r>
    <x v="40"/>
    <s v="Drink"/>
    <n v="5"/>
    <m/>
    <x v="1"/>
    <x v="1"/>
    <x v="1"/>
    <n v="-5"/>
    <x v="1"/>
    <x v="6"/>
    <x v="1"/>
  </r>
  <r>
    <x v="41"/>
    <s v="Drink"/>
    <n v="5"/>
    <m/>
    <x v="1"/>
    <x v="1"/>
    <x v="1"/>
    <n v="-5"/>
    <x v="1"/>
    <x v="0"/>
    <x v="1"/>
  </r>
  <r>
    <x v="42"/>
    <s v="Drink"/>
    <n v="5"/>
    <m/>
    <x v="1"/>
    <x v="1"/>
    <x v="1"/>
    <n v="-5"/>
    <x v="1"/>
    <x v="1"/>
    <x v="1"/>
  </r>
  <r>
    <x v="42"/>
    <s v="Green's"/>
    <n v="171"/>
    <m/>
    <x v="4"/>
    <x v="2"/>
    <x v="1"/>
    <n v="-171"/>
    <x v="1"/>
    <x v="1"/>
    <x v="1"/>
  </r>
  <r>
    <x v="43"/>
    <s v="Suya"/>
    <n v="37.9"/>
    <m/>
    <x v="8"/>
    <x v="1"/>
    <x v="1"/>
    <n v="-37.9"/>
    <x v="1"/>
    <x v="2"/>
    <x v="1"/>
  </r>
  <r>
    <x v="44"/>
    <s v="Oha soup/White soup"/>
    <n v="12.9"/>
    <m/>
    <x v="8"/>
    <x v="1"/>
    <x v="1"/>
    <n v="-12.9"/>
    <x v="1"/>
    <x v="3"/>
    <x v="1"/>
  </r>
  <r>
    <x v="45"/>
    <s v="Orphanage"/>
    <n v="55"/>
    <m/>
    <x v="14"/>
    <x v="6"/>
    <x v="1"/>
    <n v="-55"/>
    <x v="1"/>
    <x v="4"/>
    <x v="1"/>
  </r>
  <r>
    <x v="45"/>
    <s v="Fuel"/>
    <n v="64.099999999999994"/>
    <m/>
    <x v="15"/>
    <x v="3"/>
    <x v="1"/>
    <n v="-64.099999999999994"/>
    <x v="1"/>
    <x v="4"/>
    <x v="1"/>
  </r>
  <r>
    <x v="45"/>
    <s v="Drink"/>
    <n v="5"/>
    <m/>
    <x v="1"/>
    <x v="1"/>
    <x v="1"/>
    <n v="-5"/>
    <x v="1"/>
    <x v="4"/>
    <x v="1"/>
  </r>
  <r>
    <x v="46"/>
    <s v="Drink"/>
    <n v="5"/>
    <m/>
    <x v="1"/>
    <x v="1"/>
    <x v="1"/>
    <n v="-5"/>
    <x v="1"/>
    <x v="5"/>
    <x v="1"/>
  </r>
  <r>
    <x v="47"/>
    <s v="Drink"/>
    <n v="5"/>
    <m/>
    <x v="1"/>
    <x v="1"/>
    <x v="1"/>
    <n v="-5"/>
    <x v="1"/>
    <x v="6"/>
    <x v="1"/>
  </r>
  <r>
    <x v="48"/>
    <s v="Drink"/>
    <n v="5"/>
    <m/>
    <x v="1"/>
    <x v="1"/>
    <x v="1"/>
    <n v="-5"/>
    <x v="1"/>
    <x v="0"/>
    <x v="1"/>
  </r>
  <r>
    <x v="49"/>
    <s v="Drink"/>
    <n v="5"/>
    <m/>
    <x v="1"/>
    <x v="1"/>
    <x v="1"/>
    <n v="-5"/>
    <x v="1"/>
    <x v="1"/>
    <x v="1"/>
  </r>
  <r>
    <x v="49"/>
    <s v="Green's"/>
    <n v="162.9"/>
    <m/>
    <x v="4"/>
    <x v="2"/>
    <x v="1"/>
    <n v="-162.9"/>
    <x v="1"/>
    <x v="1"/>
    <x v="1"/>
  </r>
  <r>
    <x v="50"/>
    <s v="Trainers"/>
    <n v="125.9"/>
    <m/>
    <x v="7"/>
    <x v="4"/>
    <x v="1"/>
    <n v="-125.9"/>
    <x v="1"/>
    <x v="2"/>
    <x v="1"/>
  </r>
  <r>
    <x v="50"/>
    <s v="Global Fashion"/>
    <n v="137"/>
    <m/>
    <x v="7"/>
    <x v="4"/>
    <x v="1"/>
    <n v="-137"/>
    <x v="1"/>
    <x v="2"/>
    <x v="1"/>
  </r>
  <r>
    <x v="51"/>
    <s v="Fashionistas"/>
    <n v="146.1"/>
    <m/>
    <x v="7"/>
    <x v="4"/>
    <x v="1"/>
    <n v="-146.1"/>
    <x v="1"/>
    <x v="3"/>
    <x v="1"/>
  </r>
  <r>
    <x v="51"/>
    <s v="Uba"/>
    <n v="24.1"/>
    <m/>
    <x v="9"/>
    <x v="3"/>
    <x v="1"/>
    <n v="-24.1"/>
    <x v="1"/>
    <x v="3"/>
    <x v="1"/>
  </r>
  <r>
    <x v="52"/>
    <s v="Data With Decision"/>
    <m/>
    <n v="5000"/>
    <x v="0"/>
    <x v="0"/>
    <x v="0"/>
    <n v="5000"/>
    <x v="2"/>
    <x v="4"/>
    <x v="2"/>
  </r>
  <r>
    <x v="52"/>
    <s v="Drink"/>
    <n v="5"/>
    <m/>
    <x v="1"/>
    <x v="1"/>
    <x v="1"/>
    <n v="-5"/>
    <x v="2"/>
    <x v="4"/>
    <x v="2"/>
  </r>
  <r>
    <x v="53"/>
    <s v="Estate Mangement"/>
    <n v="900"/>
    <m/>
    <x v="2"/>
    <x v="2"/>
    <x v="1"/>
    <n v="-900"/>
    <x v="2"/>
    <x v="5"/>
    <x v="2"/>
  </r>
  <r>
    <x v="53"/>
    <s v="Financail upgrade"/>
    <n v="150"/>
    <m/>
    <x v="3"/>
    <x v="3"/>
    <x v="1"/>
    <n v="-150"/>
    <x v="2"/>
    <x v="5"/>
    <x v="2"/>
  </r>
  <r>
    <x v="53"/>
    <s v="Drink"/>
    <n v="5"/>
    <m/>
    <x v="1"/>
    <x v="1"/>
    <x v="1"/>
    <n v="-5"/>
    <x v="2"/>
    <x v="5"/>
    <x v="2"/>
  </r>
  <r>
    <x v="54"/>
    <s v="Drink"/>
    <n v="5"/>
    <m/>
    <x v="1"/>
    <x v="1"/>
    <x v="1"/>
    <n v="-5"/>
    <x v="2"/>
    <x v="6"/>
    <x v="2"/>
  </r>
  <r>
    <x v="55"/>
    <s v="Drink"/>
    <n v="5"/>
    <m/>
    <x v="1"/>
    <x v="1"/>
    <x v="1"/>
    <n v="-5"/>
    <x v="2"/>
    <x v="0"/>
    <x v="2"/>
  </r>
  <r>
    <x v="56"/>
    <s v="Drink"/>
    <n v="5"/>
    <m/>
    <x v="1"/>
    <x v="1"/>
    <x v="1"/>
    <n v="-5"/>
    <x v="2"/>
    <x v="1"/>
    <x v="2"/>
  </r>
  <r>
    <x v="56"/>
    <s v="Green's"/>
    <n v="149"/>
    <m/>
    <x v="4"/>
    <x v="2"/>
    <x v="1"/>
    <n v="-149"/>
    <x v="2"/>
    <x v="1"/>
    <x v="2"/>
  </r>
  <r>
    <x v="57"/>
    <s v="Power source"/>
    <n v="52.1"/>
    <m/>
    <x v="5"/>
    <x v="2"/>
    <x v="1"/>
    <n v="-52.1"/>
    <x v="2"/>
    <x v="4"/>
    <x v="2"/>
  </r>
  <r>
    <x v="57"/>
    <s v="Drink"/>
    <n v="5"/>
    <m/>
    <x v="1"/>
    <x v="1"/>
    <x v="1"/>
    <n v="-5"/>
    <x v="2"/>
    <x v="4"/>
    <x v="2"/>
  </r>
  <r>
    <x v="58"/>
    <s v="Drink"/>
    <n v="5"/>
    <m/>
    <x v="1"/>
    <x v="1"/>
    <x v="1"/>
    <n v="-5"/>
    <x v="2"/>
    <x v="5"/>
    <x v="2"/>
  </r>
  <r>
    <x v="59"/>
    <s v="Fuel"/>
    <n v="78.900000000000006"/>
    <m/>
    <x v="15"/>
    <x v="3"/>
    <x v="1"/>
    <n v="-78.900000000000006"/>
    <x v="2"/>
    <x v="6"/>
    <x v="2"/>
  </r>
  <r>
    <x v="59"/>
    <s v="Drink"/>
    <n v="5"/>
    <m/>
    <x v="1"/>
    <x v="1"/>
    <x v="1"/>
    <n v="-5"/>
    <x v="2"/>
    <x v="6"/>
    <x v="2"/>
  </r>
  <r>
    <x v="60"/>
    <s v="Drink"/>
    <n v="5"/>
    <m/>
    <x v="1"/>
    <x v="1"/>
    <x v="1"/>
    <n v="-5"/>
    <x v="2"/>
    <x v="0"/>
    <x v="2"/>
  </r>
  <r>
    <x v="61"/>
    <s v="Green's"/>
    <n v="137"/>
    <m/>
    <x v="4"/>
    <x v="2"/>
    <x v="1"/>
    <n v="-137"/>
    <x v="2"/>
    <x v="1"/>
    <x v="2"/>
  </r>
  <r>
    <x v="61"/>
    <s v="Drink"/>
    <n v="5"/>
    <m/>
    <x v="1"/>
    <x v="1"/>
    <x v="1"/>
    <n v="-5"/>
    <x v="2"/>
    <x v="1"/>
    <x v="2"/>
  </r>
  <r>
    <x v="62"/>
    <s v="Drink"/>
    <n v="5"/>
    <m/>
    <x v="1"/>
    <x v="1"/>
    <x v="1"/>
    <n v="-5"/>
    <x v="2"/>
    <x v="2"/>
    <x v="2"/>
  </r>
  <r>
    <x v="62"/>
    <s v="Cinemas"/>
    <n v="41.8"/>
    <m/>
    <x v="6"/>
    <x v="4"/>
    <x v="1"/>
    <n v="-41.8"/>
    <x v="2"/>
    <x v="2"/>
    <x v="2"/>
  </r>
  <r>
    <x v="62"/>
    <s v="Fashionistas"/>
    <n v="99.9"/>
    <m/>
    <x v="7"/>
    <x v="4"/>
    <x v="1"/>
    <n v="-99.9"/>
    <x v="2"/>
    <x v="2"/>
    <x v="2"/>
  </r>
  <r>
    <x v="62"/>
    <s v="Burger"/>
    <n v="54"/>
    <m/>
    <x v="8"/>
    <x v="1"/>
    <x v="1"/>
    <n v="-54"/>
    <x v="2"/>
    <x v="2"/>
    <x v="2"/>
  </r>
  <r>
    <x v="63"/>
    <s v="Uba"/>
    <n v="30"/>
    <m/>
    <x v="9"/>
    <x v="3"/>
    <x v="1"/>
    <n v="-30"/>
    <x v="2"/>
    <x v="3"/>
    <x v="2"/>
  </r>
  <r>
    <x v="64"/>
    <s v="Onlne earning"/>
    <m/>
    <n v="1000"/>
    <x v="10"/>
    <x v="5"/>
    <x v="0"/>
    <n v="1000"/>
    <x v="2"/>
    <x v="4"/>
    <x v="2"/>
  </r>
  <r>
    <x v="64"/>
    <s v="Drink"/>
    <n v="5"/>
    <m/>
    <x v="1"/>
    <x v="1"/>
    <x v="1"/>
    <n v="-5"/>
    <x v="2"/>
    <x v="4"/>
    <x v="2"/>
  </r>
  <r>
    <x v="65"/>
    <s v="Drink"/>
    <n v="5"/>
    <m/>
    <x v="1"/>
    <x v="1"/>
    <x v="1"/>
    <n v="-5"/>
    <x v="2"/>
    <x v="5"/>
    <x v="2"/>
  </r>
  <r>
    <x v="65"/>
    <s v="Taken medication"/>
    <n v="75"/>
    <m/>
    <x v="16"/>
    <x v="7"/>
    <x v="1"/>
    <n v="-75"/>
    <x v="2"/>
    <x v="5"/>
    <x v="2"/>
  </r>
  <r>
    <x v="65"/>
    <s v="Phone"/>
    <n v="40"/>
    <m/>
    <x v="12"/>
    <x v="2"/>
    <x v="1"/>
    <n v="-40"/>
    <x v="2"/>
    <x v="5"/>
    <x v="2"/>
  </r>
  <r>
    <x v="66"/>
    <s v="Sallah give away"/>
    <n v="46.8"/>
    <m/>
    <x v="13"/>
    <x v="4"/>
    <x v="1"/>
    <n v="-46.8"/>
    <x v="2"/>
    <x v="6"/>
    <x v="2"/>
  </r>
  <r>
    <x v="66"/>
    <s v="Online streaming"/>
    <n v="35"/>
    <m/>
    <x v="6"/>
    <x v="4"/>
    <x v="1"/>
    <n v="-35"/>
    <x v="2"/>
    <x v="6"/>
    <x v="2"/>
  </r>
  <r>
    <x v="66"/>
    <s v="Drink"/>
    <n v="5"/>
    <m/>
    <x v="1"/>
    <x v="1"/>
    <x v="1"/>
    <n v="-5"/>
    <x v="2"/>
    <x v="6"/>
    <x v="2"/>
  </r>
  <r>
    <x v="67"/>
    <s v="Drink"/>
    <n v="5"/>
    <m/>
    <x v="1"/>
    <x v="1"/>
    <x v="1"/>
    <n v="-5"/>
    <x v="2"/>
    <x v="0"/>
    <x v="2"/>
  </r>
  <r>
    <x v="68"/>
    <s v="Drink"/>
    <n v="5"/>
    <m/>
    <x v="1"/>
    <x v="1"/>
    <x v="1"/>
    <n v="-5"/>
    <x v="2"/>
    <x v="1"/>
    <x v="2"/>
  </r>
  <r>
    <x v="68"/>
    <s v="Green's"/>
    <n v="171.9"/>
    <m/>
    <x v="4"/>
    <x v="2"/>
    <x v="1"/>
    <n v="-171.9"/>
    <x v="2"/>
    <x v="1"/>
    <x v="2"/>
  </r>
  <r>
    <x v="69"/>
    <s v="Suya"/>
    <n v="39"/>
    <m/>
    <x v="8"/>
    <x v="1"/>
    <x v="1"/>
    <n v="-39"/>
    <x v="2"/>
    <x v="2"/>
    <x v="2"/>
  </r>
  <r>
    <x v="70"/>
    <s v="Oha soup/White soup"/>
    <n v="14"/>
    <m/>
    <x v="8"/>
    <x v="1"/>
    <x v="1"/>
    <n v="-14"/>
    <x v="2"/>
    <x v="3"/>
    <x v="2"/>
  </r>
  <r>
    <x v="71"/>
    <s v="Orphanage"/>
    <n v="55"/>
    <m/>
    <x v="14"/>
    <x v="6"/>
    <x v="1"/>
    <n v="-55"/>
    <x v="2"/>
    <x v="4"/>
    <x v="2"/>
  </r>
  <r>
    <x v="71"/>
    <s v="Fuel"/>
    <n v="65"/>
    <m/>
    <x v="15"/>
    <x v="3"/>
    <x v="1"/>
    <n v="-65"/>
    <x v="2"/>
    <x v="4"/>
    <x v="2"/>
  </r>
  <r>
    <x v="71"/>
    <s v="Drink"/>
    <n v="5"/>
    <m/>
    <x v="1"/>
    <x v="1"/>
    <x v="1"/>
    <n v="-5"/>
    <x v="2"/>
    <x v="4"/>
    <x v="2"/>
  </r>
  <r>
    <x v="72"/>
    <s v="Drink"/>
    <n v="5"/>
    <m/>
    <x v="1"/>
    <x v="1"/>
    <x v="1"/>
    <n v="-5"/>
    <x v="2"/>
    <x v="5"/>
    <x v="2"/>
  </r>
  <r>
    <x v="73"/>
    <s v="Drink"/>
    <n v="5"/>
    <m/>
    <x v="1"/>
    <x v="1"/>
    <x v="1"/>
    <n v="-5"/>
    <x v="2"/>
    <x v="6"/>
    <x v="2"/>
  </r>
  <r>
    <x v="74"/>
    <s v="Drink"/>
    <n v="5"/>
    <m/>
    <x v="1"/>
    <x v="1"/>
    <x v="1"/>
    <n v="-5"/>
    <x v="2"/>
    <x v="0"/>
    <x v="2"/>
  </r>
  <r>
    <x v="75"/>
    <s v="Drink"/>
    <n v="5"/>
    <m/>
    <x v="1"/>
    <x v="1"/>
    <x v="1"/>
    <n v="-5"/>
    <x v="2"/>
    <x v="1"/>
    <x v="2"/>
  </r>
  <r>
    <x v="75"/>
    <s v="Green's"/>
    <n v="209"/>
    <m/>
    <x v="4"/>
    <x v="2"/>
    <x v="1"/>
    <n v="-209"/>
    <x v="2"/>
    <x v="1"/>
    <x v="2"/>
  </r>
  <r>
    <x v="76"/>
    <s v="Trainers"/>
    <n v="127"/>
    <m/>
    <x v="7"/>
    <x v="4"/>
    <x v="1"/>
    <n v="-127"/>
    <x v="2"/>
    <x v="2"/>
    <x v="2"/>
  </r>
  <r>
    <x v="76"/>
    <s v="Sport ware"/>
    <n v="177.2"/>
    <m/>
    <x v="7"/>
    <x v="4"/>
    <x v="1"/>
    <n v="-177.2"/>
    <x v="2"/>
    <x v="2"/>
    <x v="2"/>
  </r>
  <r>
    <x v="77"/>
    <s v="Fashionistas"/>
    <n v="147.1"/>
    <m/>
    <x v="7"/>
    <x v="4"/>
    <x v="1"/>
    <n v="-147.1"/>
    <x v="2"/>
    <x v="3"/>
    <x v="2"/>
  </r>
  <r>
    <x v="77"/>
    <s v="Uba"/>
    <n v="25"/>
    <m/>
    <x v="9"/>
    <x v="3"/>
    <x v="1"/>
    <n v="-25"/>
    <x v="2"/>
    <x v="3"/>
    <x v="2"/>
  </r>
  <r>
    <x v="78"/>
    <s v="Foodary"/>
    <n v="15"/>
    <m/>
    <x v="8"/>
    <x v="1"/>
    <x v="1"/>
    <n v="-15"/>
    <x v="2"/>
    <x v="4"/>
    <x v="2"/>
  </r>
  <r>
    <x v="79"/>
    <s v="Drink"/>
    <n v="5"/>
    <m/>
    <x v="1"/>
    <x v="1"/>
    <x v="1"/>
    <n v="-5"/>
    <x v="2"/>
    <x v="5"/>
    <x v="2"/>
  </r>
  <r>
    <x v="80"/>
    <s v="Drink"/>
    <n v="5"/>
    <m/>
    <x v="1"/>
    <x v="1"/>
    <x v="1"/>
    <n v="-5"/>
    <x v="2"/>
    <x v="6"/>
    <x v="2"/>
  </r>
  <r>
    <x v="81"/>
    <s v="Data With Decision"/>
    <m/>
    <n v="5000"/>
    <x v="0"/>
    <x v="0"/>
    <x v="0"/>
    <n v="5000"/>
    <x v="3"/>
    <x v="4"/>
    <x v="3"/>
  </r>
  <r>
    <x v="81"/>
    <s v="Drink"/>
    <n v="5"/>
    <m/>
    <x v="1"/>
    <x v="1"/>
    <x v="1"/>
    <n v="-5"/>
    <x v="3"/>
    <x v="4"/>
    <x v="3"/>
  </r>
  <r>
    <x v="82"/>
    <s v="Estate Mangement"/>
    <n v="900"/>
    <m/>
    <x v="2"/>
    <x v="2"/>
    <x v="1"/>
    <n v="-900"/>
    <x v="3"/>
    <x v="5"/>
    <x v="3"/>
  </r>
  <r>
    <x v="82"/>
    <s v="Financail upgrade"/>
    <n v="150"/>
    <m/>
    <x v="3"/>
    <x v="3"/>
    <x v="1"/>
    <n v="-150"/>
    <x v="3"/>
    <x v="5"/>
    <x v="3"/>
  </r>
  <r>
    <x v="82"/>
    <s v="Drink"/>
    <n v="5"/>
    <m/>
    <x v="1"/>
    <x v="1"/>
    <x v="1"/>
    <n v="-5"/>
    <x v="3"/>
    <x v="5"/>
    <x v="3"/>
  </r>
  <r>
    <x v="83"/>
    <s v="Drink"/>
    <n v="5"/>
    <m/>
    <x v="1"/>
    <x v="1"/>
    <x v="1"/>
    <n v="-5"/>
    <x v="3"/>
    <x v="6"/>
    <x v="3"/>
  </r>
  <r>
    <x v="84"/>
    <s v="Drink"/>
    <n v="5"/>
    <m/>
    <x v="1"/>
    <x v="1"/>
    <x v="1"/>
    <n v="-5"/>
    <x v="3"/>
    <x v="0"/>
    <x v="3"/>
  </r>
  <r>
    <x v="85"/>
    <s v="Drink"/>
    <n v="5"/>
    <m/>
    <x v="1"/>
    <x v="1"/>
    <x v="1"/>
    <n v="-5"/>
    <x v="3"/>
    <x v="1"/>
    <x v="3"/>
  </r>
  <r>
    <x v="85"/>
    <s v="Green's"/>
    <n v="158.19999999999999"/>
    <m/>
    <x v="4"/>
    <x v="2"/>
    <x v="1"/>
    <n v="-158.19999999999999"/>
    <x v="3"/>
    <x v="1"/>
    <x v="3"/>
  </r>
  <r>
    <x v="86"/>
    <s v="Power source"/>
    <n v="53.2"/>
    <m/>
    <x v="5"/>
    <x v="2"/>
    <x v="1"/>
    <n v="-53.2"/>
    <x v="3"/>
    <x v="4"/>
    <x v="3"/>
  </r>
  <r>
    <x v="86"/>
    <s v="Drink"/>
    <n v="5"/>
    <m/>
    <x v="1"/>
    <x v="1"/>
    <x v="1"/>
    <n v="-5"/>
    <x v="3"/>
    <x v="4"/>
    <x v="3"/>
  </r>
  <r>
    <x v="87"/>
    <s v="Drink"/>
    <n v="5"/>
    <m/>
    <x v="1"/>
    <x v="1"/>
    <x v="1"/>
    <n v="-5"/>
    <x v="3"/>
    <x v="5"/>
    <x v="3"/>
  </r>
  <r>
    <x v="88"/>
    <s v="Fuel"/>
    <n v="79.900000000000006"/>
    <m/>
    <x v="15"/>
    <x v="3"/>
    <x v="1"/>
    <n v="-79.900000000000006"/>
    <x v="3"/>
    <x v="6"/>
    <x v="3"/>
  </r>
  <r>
    <x v="88"/>
    <s v="Drink"/>
    <n v="5"/>
    <m/>
    <x v="1"/>
    <x v="1"/>
    <x v="1"/>
    <n v="-5"/>
    <x v="3"/>
    <x v="6"/>
    <x v="3"/>
  </r>
  <r>
    <x v="89"/>
    <s v="Drink"/>
    <n v="5"/>
    <m/>
    <x v="1"/>
    <x v="1"/>
    <x v="1"/>
    <n v="-5"/>
    <x v="3"/>
    <x v="0"/>
    <x v="3"/>
  </r>
  <r>
    <x v="90"/>
    <s v="Green's"/>
    <n v="98"/>
    <m/>
    <x v="4"/>
    <x v="2"/>
    <x v="1"/>
    <n v="-98"/>
    <x v="3"/>
    <x v="1"/>
    <x v="3"/>
  </r>
  <r>
    <x v="90"/>
    <s v="Drink"/>
    <n v="5"/>
    <m/>
    <x v="1"/>
    <x v="1"/>
    <x v="1"/>
    <n v="-5"/>
    <x v="3"/>
    <x v="1"/>
    <x v="3"/>
  </r>
  <r>
    <x v="91"/>
    <s v="Drink"/>
    <n v="5"/>
    <m/>
    <x v="1"/>
    <x v="1"/>
    <x v="1"/>
    <n v="-5"/>
    <x v="3"/>
    <x v="2"/>
    <x v="3"/>
  </r>
  <r>
    <x v="91"/>
    <s v="Cinemas"/>
    <n v="42.8"/>
    <m/>
    <x v="6"/>
    <x v="4"/>
    <x v="1"/>
    <n v="-42.8"/>
    <x v="3"/>
    <x v="2"/>
    <x v="3"/>
  </r>
  <r>
    <x v="91"/>
    <s v="Fashionistas"/>
    <n v="100.9"/>
    <m/>
    <x v="7"/>
    <x v="4"/>
    <x v="1"/>
    <n v="-100.9"/>
    <x v="3"/>
    <x v="2"/>
    <x v="3"/>
  </r>
  <r>
    <x v="91"/>
    <s v="Burger"/>
    <n v="54.9"/>
    <m/>
    <x v="8"/>
    <x v="1"/>
    <x v="1"/>
    <n v="-54.9"/>
    <x v="3"/>
    <x v="2"/>
    <x v="3"/>
  </r>
  <r>
    <x v="92"/>
    <s v="Uba"/>
    <n v="31"/>
    <m/>
    <x v="9"/>
    <x v="3"/>
    <x v="1"/>
    <n v="-31"/>
    <x v="3"/>
    <x v="3"/>
    <x v="3"/>
  </r>
  <r>
    <x v="93"/>
    <s v="Onlne earning"/>
    <m/>
    <n v="2340"/>
    <x v="10"/>
    <x v="5"/>
    <x v="0"/>
    <n v="2340"/>
    <x v="3"/>
    <x v="4"/>
    <x v="3"/>
  </r>
  <r>
    <x v="93"/>
    <s v="Drink"/>
    <n v="5"/>
    <m/>
    <x v="1"/>
    <x v="1"/>
    <x v="1"/>
    <n v="-5"/>
    <x v="3"/>
    <x v="4"/>
    <x v="3"/>
  </r>
  <r>
    <x v="94"/>
    <s v="Drink"/>
    <n v="5"/>
    <m/>
    <x v="1"/>
    <x v="1"/>
    <x v="1"/>
    <n v="-5"/>
    <x v="3"/>
    <x v="5"/>
    <x v="3"/>
  </r>
  <r>
    <x v="94"/>
    <s v="Phone"/>
    <n v="40"/>
    <m/>
    <x v="12"/>
    <x v="2"/>
    <x v="1"/>
    <n v="-40"/>
    <x v="3"/>
    <x v="5"/>
    <x v="3"/>
  </r>
  <r>
    <x v="95"/>
    <s v="Sallah give away"/>
    <n v="47.9"/>
    <m/>
    <x v="13"/>
    <x v="4"/>
    <x v="1"/>
    <n v="-47.9"/>
    <x v="3"/>
    <x v="6"/>
    <x v="3"/>
  </r>
  <r>
    <x v="95"/>
    <s v="Online streaming"/>
    <n v="35"/>
    <m/>
    <x v="6"/>
    <x v="4"/>
    <x v="1"/>
    <n v="-35"/>
    <x v="3"/>
    <x v="6"/>
    <x v="3"/>
  </r>
  <r>
    <x v="95"/>
    <s v="Drink"/>
    <n v="5"/>
    <m/>
    <x v="1"/>
    <x v="1"/>
    <x v="1"/>
    <n v="-5"/>
    <x v="3"/>
    <x v="6"/>
    <x v="3"/>
  </r>
  <r>
    <x v="96"/>
    <s v="Drink"/>
    <n v="5"/>
    <m/>
    <x v="1"/>
    <x v="1"/>
    <x v="1"/>
    <n v="-5"/>
    <x v="3"/>
    <x v="0"/>
    <x v="3"/>
  </r>
  <r>
    <x v="97"/>
    <s v="Drink"/>
    <n v="5"/>
    <m/>
    <x v="1"/>
    <x v="1"/>
    <x v="1"/>
    <n v="-5"/>
    <x v="3"/>
    <x v="1"/>
    <x v="3"/>
  </r>
  <r>
    <x v="97"/>
    <s v="Green's"/>
    <n v="173"/>
    <m/>
    <x v="4"/>
    <x v="2"/>
    <x v="1"/>
    <n v="-173"/>
    <x v="3"/>
    <x v="1"/>
    <x v="3"/>
  </r>
  <r>
    <x v="98"/>
    <s v="Suya"/>
    <n v="40.1"/>
    <m/>
    <x v="8"/>
    <x v="1"/>
    <x v="1"/>
    <n v="-40.1"/>
    <x v="3"/>
    <x v="2"/>
    <x v="3"/>
  </r>
  <r>
    <x v="99"/>
    <s v="Oha soup/White soup"/>
    <n v="15.1"/>
    <m/>
    <x v="8"/>
    <x v="1"/>
    <x v="1"/>
    <n v="-15.1"/>
    <x v="3"/>
    <x v="3"/>
    <x v="3"/>
  </r>
  <r>
    <x v="100"/>
    <s v="Orphanage"/>
    <n v="55"/>
    <m/>
    <x v="14"/>
    <x v="6"/>
    <x v="1"/>
    <n v="-55"/>
    <x v="3"/>
    <x v="4"/>
    <x v="3"/>
  </r>
  <r>
    <x v="100"/>
    <s v="Fuel"/>
    <n v="66"/>
    <m/>
    <x v="15"/>
    <x v="3"/>
    <x v="1"/>
    <n v="-66"/>
    <x v="3"/>
    <x v="4"/>
    <x v="3"/>
  </r>
  <r>
    <x v="100"/>
    <s v="Drink"/>
    <n v="5"/>
    <m/>
    <x v="1"/>
    <x v="1"/>
    <x v="1"/>
    <n v="-5"/>
    <x v="3"/>
    <x v="4"/>
    <x v="3"/>
  </r>
  <r>
    <x v="101"/>
    <s v="Drink"/>
    <n v="5"/>
    <m/>
    <x v="1"/>
    <x v="1"/>
    <x v="1"/>
    <n v="-5"/>
    <x v="3"/>
    <x v="5"/>
    <x v="3"/>
  </r>
  <r>
    <x v="102"/>
    <s v="Drink"/>
    <n v="5"/>
    <m/>
    <x v="1"/>
    <x v="1"/>
    <x v="1"/>
    <n v="-5"/>
    <x v="3"/>
    <x v="6"/>
    <x v="3"/>
  </r>
  <r>
    <x v="103"/>
    <s v="Drink"/>
    <n v="5"/>
    <m/>
    <x v="1"/>
    <x v="1"/>
    <x v="1"/>
    <n v="-5"/>
    <x v="3"/>
    <x v="0"/>
    <x v="3"/>
  </r>
  <r>
    <x v="104"/>
    <s v="Drink"/>
    <n v="5"/>
    <m/>
    <x v="1"/>
    <x v="1"/>
    <x v="1"/>
    <n v="-5"/>
    <x v="3"/>
    <x v="1"/>
    <x v="3"/>
  </r>
  <r>
    <x v="104"/>
    <s v="Green's"/>
    <n v="164.9"/>
    <m/>
    <x v="4"/>
    <x v="2"/>
    <x v="1"/>
    <n v="-164.9"/>
    <x v="3"/>
    <x v="1"/>
    <x v="3"/>
  </r>
  <r>
    <x v="105"/>
    <s v="Trainers"/>
    <n v="127.9"/>
    <m/>
    <x v="7"/>
    <x v="4"/>
    <x v="1"/>
    <n v="-127.9"/>
    <x v="3"/>
    <x v="2"/>
    <x v="3"/>
  </r>
  <r>
    <x v="105"/>
    <s v="Clubing"/>
    <n v="300"/>
    <m/>
    <x v="6"/>
    <x v="4"/>
    <x v="1"/>
    <n v="-300"/>
    <x v="3"/>
    <x v="2"/>
    <x v="3"/>
  </r>
  <r>
    <x v="106"/>
    <s v="Fashionistas"/>
    <n v="148.1"/>
    <m/>
    <x v="7"/>
    <x v="4"/>
    <x v="1"/>
    <n v="-148.1"/>
    <x v="3"/>
    <x v="3"/>
    <x v="3"/>
  </r>
  <r>
    <x v="106"/>
    <s v="Uba"/>
    <n v="26.1"/>
    <m/>
    <x v="9"/>
    <x v="3"/>
    <x v="1"/>
    <n v="-26.1"/>
    <x v="3"/>
    <x v="3"/>
    <x v="3"/>
  </r>
  <r>
    <x v="107"/>
    <s v="Foodary"/>
    <n v="15"/>
    <m/>
    <x v="8"/>
    <x v="1"/>
    <x v="1"/>
    <n v="-15"/>
    <x v="3"/>
    <x v="4"/>
    <x v="3"/>
  </r>
  <r>
    <x v="107"/>
    <s v="Drink"/>
    <n v="5"/>
    <m/>
    <x v="1"/>
    <x v="1"/>
    <x v="1"/>
    <n v="-5"/>
    <x v="3"/>
    <x v="4"/>
    <x v="3"/>
  </r>
  <r>
    <x v="108"/>
    <s v="Drink"/>
    <n v="5"/>
    <m/>
    <x v="1"/>
    <x v="1"/>
    <x v="1"/>
    <n v="-5"/>
    <x v="3"/>
    <x v="5"/>
    <x v="3"/>
  </r>
  <r>
    <x v="109"/>
    <s v="Drink"/>
    <n v="5"/>
    <m/>
    <x v="1"/>
    <x v="1"/>
    <x v="1"/>
    <n v="-5"/>
    <x v="4"/>
    <x v="5"/>
    <x v="4"/>
  </r>
  <r>
    <x v="110"/>
    <s v="Data With Decision"/>
    <m/>
    <n v="5000"/>
    <x v="0"/>
    <x v="0"/>
    <x v="0"/>
    <n v="5000"/>
    <x v="4"/>
    <x v="6"/>
    <x v="4"/>
  </r>
  <r>
    <x v="110"/>
    <s v="Estate Mangement"/>
    <n v="900"/>
    <m/>
    <x v="2"/>
    <x v="2"/>
    <x v="1"/>
    <n v="-900"/>
    <x v="4"/>
    <x v="6"/>
    <x v="4"/>
  </r>
  <r>
    <x v="110"/>
    <s v="Financail upgrade"/>
    <n v="150"/>
    <m/>
    <x v="3"/>
    <x v="3"/>
    <x v="1"/>
    <n v="-150"/>
    <x v="4"/>
    <x v="6"/>
    <x v="4"/>
  </r>
  <r>
    <x v="110"/>
    <s v="Drink"/>
    <n v="5"/>
    <m/>
    <x v="1"/>
    <x v="1"/>
    <x v="1"/>
    <n v="-5"/>
    <x v="4"/>
    <x v="6"/>
    <x v="4"/>
  </r>
  <r>
    <x v="111"/>
    <s v="Drink"/>
    <n v="5"/>
    <m/>
    <x v="1"/>
    <x v="1"/>
    <x v="1"/>
    <n v="-5"/>
    <x v="4"/>
    <x v="0"/>
    <x v="4"/>
  </r>
  <r>
    <x v="112"/>
    <s v="Drink"/>
    <n v="5"/>
    <m/>
    <x v="1"/>
    <x v="1"/>
    <x v="1"/>
    <n v="-5"/>
    <x v="4"/>
    <x v="1"/>
    <x v="4"/>
  </r>
  <r>
    <x v="113"/>
    <s v="Drink"/>
    <n v="5"/>
    <m/>
    <x v="1"/>
    <x v="1"/>
    <x v="1"/>
    <n v="-5"/>
    <x v="4"/>
    <x v="2"/>
    <x v="4"/>
  </r>
  <r>
    <x v="113"/>
    <s v="Green's"/>
    <n v="170"/>
    <m/>
    <x v="4"/>
    <x v="2"/>
    <x v="1"/>
    <n v="-170"/>
    <x v="4"/>
    <x v="2"/>
    <x v="4"/>
  </r>
  <r>
    <x v="114"/>
    <s v="Power source"/>
    <n v="54.1"/>
    <m/>
    <x v="5"/>
    <x v="2"/>
    <x v="1"/>
    <n v="-54.1"/>
    <x v="4"/>
    <x v="5"/>
    <x v="4"/>
  </r>
  <r>
    <x v="114"/>
    <s v="Drink"/>
    <n v="5"/>
    <m/>
    <x v="1"/>
    <x v="1"/>
    <x v="1"/>
    <n v="-5"/>
    <x v="4"/>
    <x v="5"/>
    <x v="4"/>
  </r>
  <r>
    <x v="115"/>
    <s v="Drink"/>
    <n v="5"/>
    <m/>
    <x v="1"/>
    <x v="1"/>
    <x v="1"/>
    <n v="-5"/>
    <x v="4"/>
    <x v="6"/>
    <x v="4"/>
  </r>
  <r>
    <x v="116"/>
    <s v="Fuel"/>
    <n v="81"/>
    <m/>
    <x v="15"/>
    <x v="3"/>
    <x v="1"/>
    <n v="-81"/>
    <x v="4"/>
    <x v="0"/>
    <x v="4"/>
  </r>
  <r>
    <x v="116"/>
    <s v="Drink"/>
    <n v="5"/>
    <m/>
    <x v="1"/>
    <x v="1"/>
    <x v="1"/>
    <n v="-5"/>
    <x v="4"/>
    <x v="0"/>
    <x v="4"/>
  </r>
  <r>
    <x v="117"/>
    <s v="Drink"/>
    <n v="5"/>
    <m/>
    <x v="1"/>
    <x v="1"/>
    <x v="1"/>
    <n v="-5"/>
    <x v="4"/>
    <x v="1"/>
    <x v="4"/>
  </r>
  <r>
    <x v="118"/>
    <s v="Green's"/>
    <n v="139.1"/>
    <m/>
    <x v="4"/>
    <x v="2"/>
    <x v="1"/>
    <n v="-139.1"/>
    <x v="4"/>
    <x v="2"/>
    <x v="4"/>
  </r>
  <r>
    <x v="118"/>
    <s v="Drink"/>
    <n v="5"/>
    <m/>
    <x v="1"/>
    <x v="1"/>
    <x v="1"/>
    <n v="-5"/>
    <x v="4"/>
    <x v="2"/>
    <x v="4"/>
  </r>
  <r>
    <x v="119"/>
    <s v="Drink"/>
    <n v="5"/>
    <m/>
    <x v="1"/>
    <x v="1"/>
    <x v="1"/>
    <n v="-5"/>
    <x v="4"/>
    <x v="3"/>
    <x v="4"/>
  </r>
  <r>
    <x v="119"/>
    <s v="Cinemas"/>
    <n v="43.9"/>
    <m/>
    <x v="6"/>
    <x v="4"/>
    <x v="1"/>
    <n v="-43.9"/>
    <x v="4"/>
    <x v="3"/>
    <x v="4"/>
  </r>
  <r>
    <x v="119"/>
    <s v="Fashionistas"/>
    <n v="101.80000000000001"/>
    <m/>
    <x v="7"/>
    <x v="4"/>
    <x v="1"/>
    <n v="-101.80000000000001"/>
    <x v="4"/>
    <x v="3"/>
    <x v="4"/>
  </r>
  <r>
    <x v="119"/>
    <s v="Burger"/>
    <n v="55.9"/>
    <m/>
    <x v="8"/>
    <x v="1"/>
    <x v="1"/>
    <n v="-55.9"/>
    <x v="4"/>
    <x v="3"/>
    <x v="4"/>
  </r>
  <r>
    <x v="120"/>
    <s v="Uba"/>
    <n v="32"/>
    <m/>
    <x v="9"/>
    <x v="3"/>
    <x v="1"/>
    <n v="-32"/>
    <x v="4"/>
    <x v="4"/>
    <x v="4"/>
  </r>
  <r>
    <x v="121"/>
    <s v="Onlne earning"/>
    <m/>
    <n v="1000"/>
    <x v="10"/>
    <x v="5"/>
    <x v="0"/>
    <n v="1000"/>
    <x v="4"/>
    <x v="5"/>
    <x v="4"/>
  </r>
  <r>
    <x v="121"/>
    <s v="Drink"/>
    <n v="5"/>
    <m/>
    <x v="1"/>
    <x v="1"/>
    <x v="1"/>
    <n v="-5"/>
    <x v="4"/>
    <x v="5"/>
    <x v="4"/>
  </r>
  <r>
    <x v="122"/>
    <s v="Drink"/>
    <n v="5"/>
    <m/>
    <x v="1"/>
    <x v="1"/>
    <x v="1"/>
    <n v="-5"/>
    <x v="4"/>
    <x v="6"/>
    <x v="4"/>
  </r>
  <r>
    <x v="122"/>
    <s v="Taken medication"/>
    <n v="75"/>
    <m/>
    <x v="16"/>
    <x v="7"/>
    <x v="1"/>
    <n v="-75"/>
    <x v="4"/>
    <x v="6"/>
    <x v="4"/>
  </r>
  <r>
    <x v="122"/>
    <s v="Phone"/>
    <n v="40"/>
    <m/>
    <x v="12"/>
    <x v="2"/>
    <x v="1"/>
    <n v="-40"/>
    <x v="4"/>
    <x v="6"/>
    <x v="4"/>
  </r>
  <r>
    <x v="123"/>
    <s v="Sallah give away"/>
    <n v="49"/>
    <m/>
    <x v="13"/>
    <x v="4"/>
    <x v="1"/>
    <n v="-49"/>
    <x v="4"/>
    <x v="0"/>
    <x v="4"/>
  </r>
  <r>
    <x v="123"/>
    <s v="Online streaming"/>
    <n v="35"/>
    <m/>
    <x v="6"/>
    <x v="4"/>
    <x v="1"/>
    <n v="-35"/>
    <x v="4"/>
    <x v="0"/>
    <x v="4"/>
  </r>
  <r>
    <x v="123"/>
    <s v="Drink"/>
    <n v="5"/>
    <m/>
    <x v="1"/>
    <x v="1"/>
    <x v="1"/>
    <n v="-5"/>
    <x v="4"/>
    <x v="0"/>
    <x v="4"/>
  </r>
  <r>
    <x v="124"/>
    <s v="Drink"/>
    <n v="5"/>
    <m/>
    <x v="1"/>
    <x v="1"/>
    <x v="1"/>
    <n v="-5"/>
    <x v="4"/>
    <x v="1"/>
    <x v="4"/>
  </r>
  <r>
    <x v="125"/>
    <s v="Drink"/>
    <n v="5"/>
    <m/>
    <x v="1"/>
    <x v="1"/>
    <x v="1"/>
    <n v="-5"/>
    <x v="4"/>
    <x v="2"/>
    <x v="4"/>
  </r>
  <r>
    <x v="125"/>
    <s v="Green's"/>
    <n v="174"/>
    <m/>
    <x v="4"/>
    <x v="2"/>
    <x v="1"/>
    <n v="-174"/>
    <x v="4"/>
    <x v="2"/>
    <x v="4"/>
  </r>
  <r>
    <x v="126"/>
    <s v="Suya"/>
    <n v="41.1"/>
    <m/>
    <x v="8"/>
    <x v="1"/>
    <x v="1"/>
    <n v="-41.1"/>
    <x v="4"/>
    <x v="3"/>
    <x v="4"/>
  </r>
  <r>
    <x v="127"/>
    <s v="Oha soup/White soup"/>
    <n v="16.2"/>
    <m/>
    <x v="8"/>
    <x v="1"/>
    <x v="1"/>
    <n v="-16.2"/>
    <x v="4"/>
    <x v="4"/>
    <x v="4"/>
  </r>
  <r>
    <x v="128"/>
    <s v="Orphanage"/>
    <n v="55"/>
    <m/>
    <x v="14"/>
    <x v="6"/>
    <x v="1"/>
    <n v="-55"/>
    <x v="4"/>
    <x v="5"/>
    <x v="4"/>
  </r>
  <r>
    <x v="128"/>
    <s v="Fuel"/>
    <n v="67"/>
    <m/>
    <x v="15"/>
    <x v="3"/>
    <x v="1"/>
    <n v="-67"/>
    <x v="4"/>
    <x v="5"/>
    <x v="4"/>
  </r>
  <r>
    <x v="128"/>
    <s v="Drink"/>
    <n v="5"/>
    <m/>
    <x v="1"/>
    <x v="1"/>
    <x v="1"/>
    <n v="-5"/>
    <x v="4"/>
    <x v="5"/>
    <x v="4"/>
  </r>
  <r>
    <x v="129"/>
    <s v="Drink"/>
    <n v="5"/>
    <m/>
    <x v="1"/>
    <x v="1"/>
    <x v="1"/>
    <n v="-5"/>
    <x v="4"/>
    <x v="6"/>
    <x v="4"/>
  </r>
  <r>
    <x v="130"/>
    <s v="Drink"/>
    <n v="5"/>
    <m/>
    <x v="1"/>
    <x v="1"/>
    <x v="1"/>
    <n v="-5"/>
    <x v="4"/>
    <x v="0"/>
    <x v="4"/>
  </r>
  <r>
    <x v="131"/>
    <s v="Drink"/>
    <n v="5"/>
    <m/>
    <x v="1"/>
    <x v="1"/>
    <x v="1"/>
    <n v="-5"/>
    <x v="4"/>
    <x v="1"/>
    <x v="4"/>
  </r>
  <r>
    <x v="132"/>
    <s v="Drink"/>
    <n v="5"/>
    <m/>
    <x v="1"/>
    <x v="1"/>
    <x v="1"/>
    <n v="-5"/>
    <x v="4"/>
    <x v="2"/>
    <x v="4"/>
  </r>
  <r>
    <x v="132"/>
    <s v="Green's"/>
    <n v="165.8"/>
    <m/>
    <x v="4"/>
    <x v="2"/>
    <x v="1"/>
    <n v="-165.8"/>
    <x v="4"/>
    <x v="2"/>
    <x v="4"/>
  </r>
  <r>
    <x v="133"/>
    <s v="Trainers"/>
    <n v="128.80000000000001"/>
    <m/>
    <x v="7"/>
    <x v="4"/>
    <x v="1"/>
    <n v="-128.80000000000001"/>
    <x v="4"/>
    <x v="3"/>
    <x v="4"/>
  </r>
  <r>
    <x v="133"/>
    <s v="Home décor"/>
    <n v="235"/>
    <m/>
    <x v="17"/>
    <x v="4"/>
    <x v="1"/>
    <n v="-235"/>
    <x v="4"/>
    <x v="3"/>
    <x v="4"/>
  </r>
  <r>
    <x v="134"/>
    <s v="Fashionistas"/>
    <n v="149.19999999999999"/>
    <m/>
    <x v="7"/>
    <x v="4"/>
    <x v="1"/>
    <n v="-149.19999999999999"/>
    <x v="4"/>
    <x v="4"/>
    <x v="4"/>
  </r>
  <r>
    <x v="134"/>
    <s v="Uba"/>
    <n v="27.200000000000003"/>
    <m/>
    <x v="9"/>
    <x v="3"/>
    <x v="1"/>
    <n v="-27.200000000000003"/>
    <x v="4"/>
    <x v="4"/>
    <x v="4"/>
  </r>
  <r>
    <x v="135"/>
    <s v="Foodary"/>
    <n v="15"/>
    <m/>
    <x v="8"/>
    <x v="1"/>
    <x v="1"/>
    <n v="-15"/>
    <x v="4"/>
    <x v="6"/>
    <x v="4"/>
  </r>
  <r>
    <x v="136"/>
    <s v="Drink"/>
    <n v="5"/>
    <m/>
    <x v="1"/>
    <x v="1"/>
    <x v="1"/>
    <n v="-5"/>
    <x v="4"/>
    <x v="5"/>
    <x v="4"/>
  </r>
  <r>
    <x v="135"/>
    <s v="Drink"/>
    <n v="5"/>
    <m/>
    <x v="1"/>
    <x v="1"/>
    <x v="1"/>
    <n v="-5"/>
    <x v="4"/>
    <x v="6"/>
    <x v="4"/>
  </r>
  <r>
    <x v="137"/>
    <s v="Data With Decision"/>
    <m/>
    <n v="5000"/>
    <x v="0"/>
    <x v="0"/>
    <x v="0"/>
    <n v="5000"/>
    <x v="5"/>
    <x v="4"/>
    <x v="5"/>
  </r>
  <r>
    <x v="138"/>
    <s v="Drink"/>
    <n v="5"/>
    <m/>
    <x v="1"/>
    <x v="1"/>
    <x v="1"/>
    <n v="-5"/>
    <x v="5"/>
    <x v="6"/>
    <x v="5"/>
  </r>
  <r>
    <x v="138"/>
    <s v="Estate Mangement"/>
    <n v="900"/>
    <m/>
    <x v="2"/>
    <x v="2"/>
    <x v="1"/>
    <n v="-900"/>
    <x v="5"/>
    <x v="6"/>
    <x v="5"/>
  </r>
  <r>
    <x v="138"/>
    <s v="Financail upgrade"/>
    <n v="150"/>
    <m/>
    <x v="3"/>
    <x v="3"/>
    <x v="1"/>
    <n v="-150"/>
    <x v="5"/>
    <x v="6"/>
    <x v="5"/>
  </r>
  <r>
    <x v="138"/>
    <s v="Drink"/>
    <n v="5"/>
    <m/>
    <x v="1"/>
    <x v="1"/>
    <x v="1"/>
    <n v="-5"/>
    <x v="5"/>
    <x v="6"/>
    <x v="5"/>
  </r>
  <r>
    <x v="139"/>
    <s v="Drink"/>
    <n v="5"/>
    <m/>
    <x v="1"/>
    <x v="1"/>
    <x v="1"/>
    <n v="-5"/>
    <x v="5"/>
    <x v="0"/>
    <x v="5"/>
  </r>
  <r>
    <x v="140"/>
    <s v="Drink"/>
    <n v="5"/>
    <m/>
    <x v="1"/>
    <x v="1"/>
    <x v="1"/>
    <n v="-5"/>
    <x v="5"/>
    <x v="1"/>
    <x v="5"/>
  </r>
  <r>
    <x v="141"/>
    <s v="Drink"/>
    <n v="5"/>
    <m/>
    <x v="1"/>
    <x v="1"/>
    <x v="1"/>
    <n v="-5"/>
    <x v="5"/>
    <x v="2"/>
    <x v="5"/>
  </r>
  <r>
    <x v="141"/>
    <s v="Green's"/>
    <n v="119"/>
    <m/>
    <x v="4"/>
    <x v="2"/>
    <x v="1"/>
    <n v="-119"/>
    <x v="5"/>
    <x v="2"/>
    <x v="5"/>
  </r>
  <r>
    <x v="142"/>
    <s v="Power source"/>
    <n v="55"/>
    <m/>
    <x v="5"/>
    <x v="2"/>
    <x v="1"/>
    <n v="-55"/>
    <x v="5"/>
    <x v="5"/>
    <x v="5"/>
  </r>
  <r>
    <x v="142"/>
    <s v="Drink"/>
    <n v="5"/>
    <m/>
    <x v="1"/>
    <x v="1"/>
    <x v="1"/>
    <n v="-5"/>
    <x v="5"/>
    <x v="5"/>
    <x v="5"/>
  </r>
  <r>
    <x v="143"/>
    <s v="Drink"/>
    <n v="5"/>
    <m/>
    <x v="1"/>
    <x v="1"/>
    <x v="1"/>
    <n v="-5"/>
    <x v="5"/>
    <x v="6"/>
    <x v="5"/>
  </r>
  <r>
    <x v="144"/>
    <s v="Fuel"/>
    <n v="82.1"/>
    <m/>
    <x v="15"/>
    <x v="3"/>
    <x v="1"/>
    <n v="-82.1"/>
    <x v="5"/>
    <x v="0"/>
    <x v="5"/>
  </r>
  <r>
    <x v="144"/>
    <s v="Drink"/>
    <n v="5"/>
    <m/>
    <x v="1"/>
    <x v="1"/>
    <x v="1"/>
    <n v="-5"/>
    <x v="5"/>
    <x v="0"/>
    <x v="5"/>
  </r>
  <r>
    <x v="145"/>
    <s v="Drink"/>
    <n v="5"/>
    <m/>
    <x v="1"/>
    <x v="1"/>
    <x v="1"/>
    <n v="-5"/>
    <x v="5"/>
    <x v="1"/>
    <x v="5"/>
  </r>
  <r>
    <x v="146"/>
    <s v="Green's"/>
    <n v="140.19999999999999"/>
    <m/>
    <x v="4"/>
    <x v="2"/>
    <x v="1"/>
    <n v="-140.19999999999999"/>
    <x v="5"/>
    <x v="2"/>
    <x v="5"/>
  </r>
  <r>
    <x v="146"/>
    <s v="Drink"/>
    <n v="5"/>
    <m/>
    <x v="1"/>
    <x v="1"/>
    <x v="1"/>
    <n v="-5"/>
    <x v="5"/>
    <x v="2"/>
    <x v="5"/>
  </r>
  <r>
    <x v="147"/>
    <s v="Drink"/>
    <n v="5"/>
    <m/>
    <x v="1"/>
    <x v="1"/>
    <x v="1"/>
    <n v="-5"/>
    <x v="5"/>
    <x v="3"/>
    <x v="5"/>
  </r>
  <r>
    <x v="147"/>
    <s v="Cinemas"/>
    <n v="44.9"/>
    <m/>
    <x v="6"/>
    <x v="4"/>
    <x v="1"/>
    <n v="-44.9"/>
    <x v="5"/>
    <x v="3"/>
    <x v="5"/>
  </r>
  <r>
    <x v="147"/>
    <s v="Fashionistas"/>
    <n v="102.9"/>
    <m/>
    <x v="7"/>
    <x v="4"/>
    <x v="1"/>
    <n v="-102.9"/>
    <x v="5"/>
    <x v="3"/>
    <x v="5"/>
  </r>
  <r>
    <x v="147"/>
    <s v="Burger"/>
    <n v="56.9"/>
    <m/>
    <x v="8"/>
    <x v="1"/>
    <x v="1"/>
    <n v="-56.9"/>
    <x v="5"/>
    <x v="3"/>
    <x v="5"/>
  </r>
  <r>
    <x v="148"/>
    <s v="Uba"/>
    <n v="33.1"/>
    <m/>
    <x v="9"/>
    <x v="3"/>
    <x v="1"/>
    <n v="-33.1"/>
    <x v="5"/>
    <x v="4"/>
    <x v="5"/>
  </r>
  <r>
    <x v="149"/>
    <s v="Onlne earning"/>
    <m/>
    <n v="100"/>
    <x v="10"/>
    <x v="5"/>
    <x v="0"/>
    <n v="100"/>
    <x v="5"/>
    <x v="5"/>
    <x v="5"/>
  </r>
  <r>
    <x v="149"/>
    <s v="Drink"/>
    <n v="5"/>
    <m/>
    <x v="1"/>
    <x v="1"/>
    <x v="1"/>
    <n v="-5"/>
    <x v="5"/>
    <x v="5"/>
    <x v="5"/>
  </r>
  <r>
    <x v="150"/>
    <s v="Drink"/>
    <n v="5"/>
    <m/>
    <x v="1"/>
    <x v="1"/>
    <x v="1"/>
    <n v="-5"/>
    <x v="5"/>
    <x v="6"/>
    <x v="5"/>
  </r>
  <r>
    <x v="150"/>
    <s v="Phone"/>
    <n v="40"/>
    <m/>
    <x v="12"/>
    <x v="2"/>
    <x v="1"/>
    <n v="-40"/>
    <x v="5"/>
    <x v="6"/>
    <x v="5"/>
  </r>
  <r>
    <x v="151"/>
    <s v="Sallah give away"/>
    <n v="50.1"/>
    <m/>
    <x v="13"/>
    <x v="4"/>
    <x v="1"/>
    <n v="-50.1"/>
    <x v="5"/>
    <x v="0"/>
    <x v="5"/>
  </r>
  <r>
    <x v="151"/>
    <s v="Online streaming"/>
    <n v="35"/>
    <m/>
    <x v="6"/>
    <x v="4"/>
    <x v="1"/>
    <n v="-35"/>
    <x v="5"/>
    <x v="0"/>
    <x v="5"/>
  </r>
  <r>
    <x v="151"/>
    <s v="Drink"/>
    <n v="5"/>
    <m/>
    <x v="1"/>
    <x v="1"/>
    <x v="1"/>
    <n v="-5"/>
    <x v="5"/>
    <x v="0"/>
    <x v="5"/>
  </r>
  <r>
    <x v="152"/>
    <s v="Drink"/>
    <n v="5"/>
    <m/>
    <x v="1"/>
    <x v="1"/>
    <x v="1"/>
    <n v="-5"/>
    <x v="5"/>
    <x v="1"/>
    <x v="5"/>
  </r>
  <r>
    <x v="153"/>
    <s v="Drink"/>
    <n v="5"/>
    <m/>
    <x v="1"/>
    <x v="1"/>
    <x v="1"/>
    <n v="-5"/>
    <x v="5"/>
    <x v="2"/>
    <x v="5"/>
  </r>
  <r>
    <x v="153"/>
    <s v="Green's"/>
    <n v="234"/>
    <m/>
    <x v="4"/>
    <x v="2"/>
    <x v="1"/>
    <n v="-234"/>
    <x v="5"/>
    <x v="2"/>
    <x v="5"/>
  </r>
  <r>
    <x v="154"/>
    <s v="Suya"/>
    <n v="42.1"/>
    <m/>
    <x v="8"/>
    <x v="1"/>
    <x v="1"/>
    <n v="-42.1"/>
    <x v="5"/>
    <x v="3"/>
    <x v="5"/>
  </r>
  <r>
    <x v="155"/>
    <s v="Oha soup/White soup"/>
    <n v="17.099999999999998"/>
    <m/>
    <x v="8"/>
    <x v="1"/>
    <x v="1"/>
    <n v="-17.099999999999998"/>
    <x v="5"/>
    <x v="4"/>
    <x v="5"/>
  </r>
  <r>
    <x v="156"/>
    <s v="Orphanage"/>
    <n v="55"/>
    <m/>
    <x v="14"/>
    <x v="6"/>
    <x v="1"/>
    <n v="-55"/>
    <x v="5"/>
    <x v="5"/>
    <x v="5"/>
  </r>
  <r>
    <x v="156"/>
    <s v="Fuel"/>
    <n v="67.900000000000006"/>
    <m/>
    <x v="15"/>
    <x v="3"/>
    <x v="1"/>
    <n v="-67.900000000000006"/>
    <x v="5"/>
    <x v="5"/>
    <x v="5"/>
  </r>
  <r>
    <x v="156"/>
    <s v="Drink"/>
    <n v="5"/>
    <m/>
    <x v="1"/>
    <x v="1"/>
    <x v="1"/>
    <n v="-5"/>
    <x v="5"/>
    <x v="5"/>
    <x v="5"/>
  </r>
  <r>
    <x v="157"/>
    <s v="Drink"/>
    <n v="5"/>
    <m/>
    <x v="1"/>
    <x v="1"/>
    <x v="1"/>
    <n v="-5"/>
    <x v="5"/>
    <x v="6"/>
    <x v="5"/>
  </r>
  <r>
    <x v="158"/>
    <s v="Drink"/>
    <n v="5"/>
    <m/>
    <x v="1"/>
    <x v="1"/>
    <x v="1"/>
    <n v="-5"/>
    <x v="5"/>
    <x v="0"/>
    <x v="5"/>
  </r>
  <r>
    <x v="159"/>
    <s v="Drink"/>
    <n v="5"/>
    <m/>
    <x v="1"/>
    <x v="1"/>
    <x v="1"/>
    <n v="-5"/>
    <x v="5"/>
    <x v="1"/>
    <x v="5"/>
  </r>
  <r>
    <x v="160"/>
    <s v="Drink"/>
    <n v="5"/>
    <m/>
    <x v="1"/>
    <x v="1"/>
    <x v="1"/>
    <n v="-5"/>
    <x v="5"/>
    <x v="2"/>
    <x v="5"/>
  </r>
  <r>
    <x v="160"/>
    <s v="Green's"/>
    <n v="166.9"/>
    <m/>
    <x v="4"/>
    <x v="2"/>
    <x v="1"/>
    <n v="-166.9"/>
    <x v="5"/>
    <x v="2"/>
    <x v="5"/>
  </r>
  <r>
    <x v="161"/>
    <s v="Trainers"/>
    <n v="129.9"/>
    <m/>
    <x v="7"/>
    <x v="4"/>
    <x v="1"/>
    <n v="-129.9"/>
    <x v="5"/>
    <x v="3"/>
    <x v="5"/>
  </r>
  <r>
    <x v="161"/>
    <s v="Hangingout/Ticket"/>
    <n v="180.29999999999998"/>
    <m/>
    <x v="6"/>
    <x v="4"/>
    <x v="1"/>
    <n v="-180.29999999999998"/>
    <x v="5"/>
    <x v="3"/>
    <x v="5"/>
  </r>
  <r>
    <x v="162"/>
    <s v="Fashionistas"/>
    <n v="150.1"/>
    <m/>
    <x v="7"/>
    <x v="4"/>
    <x v="1"/>
    <n v="-150.1"/>
    <x v="5"/>
    <x v="4"/>
    <x v="5"/>
  </r>
  <r>
    <x v="162"/>
    <s v="Uba"/>
    <n v="28.200000000000003"/>
    <m/>
    <x v="9"/>
    <x v="3"/>
    <x v="1"/>
    <n v="-28.200000000000003"/>
    <x v="5"/>
    <x v="4"/>
    <x v="5"/>
  </r>
  <r>
    <x v="162"/>
    <s v="Foodary"/>
    <n v="15"/>
    <m/>
    <x v="8"/>
    <x v="1"/>
    <x v="1"/>
    <n v="-15"/>
    <x v="5"/>
    <x v="4"/>
    <x v="5"/>
  </r>
  <r>
    <x v="163"/>
    <s v="Drink"/>
    <n v="5"/>
    <m/>
    <x v="1"/>
    <x v="1"/>
    <x v="1"/>
    <n v="-5"/>
    <x v="5"/>
    <x v="5"/>
    <x v="5"/>
  </r>
  <r>
    <x v="164"/>
    <s v="Drink"/>
    <n v="5"/>
    <m/>
    <x v="1"/>
    <x v="1"/>
    <x v="1"/>
    <n v="-5"/>
    <x v="6"/>
    <x v="4"/>
    <x v="6"/>
  </r>
  <r>
    <x v="165"/>
    <s v="Data With Decision"/>
    <m/>
    <n v="5000"/>
    <x v="0"/>
    <x v="0"/>
    <x v="0"/>
    <n v="5000"/>
    <x v="6"/>
    <x v="5"/>
    <x v="6"/>
  </r>
  <r>
    <x v="166"/>
    <s v="Drink"/>
    <n v="5"/>
    <m/>
    <x v="1"/>
    <x v="1"/>
    <x v="1"/>
    <n v="-5"/>
    <x v="6"/>
    <x v="6"/>
    <x v="6"/>
  </r>
  <r>
    <x v="167"/>
    <s v="Estate Mangement"/>
    <n v="900"/>
    <m/>
    <x v="2"/>
    <x v="2"/>
    <x v="1"/>
    <n v="-900"/>
    <x v="6"/>
    <x v="1"/>
    <x v="6"/>
  </r>
  <r>
    <x v="167"/>
    <s v="Financail upgrade"/>
    <n v="150"/>
    <m/>
    <x v="3"/>
    <x v="3"/>
    <x v="1"/>
    <n v="-150"/>
    <x v="6"/>
    <x v="1"/>
    <x v="6"/>
  </r>
  <r>
    <x v="167"/>
    <s v="Feedings"/>
    <n v="15"/>
    <m/>
    <x v="8"/>
    <x v="1"/>
    <x v="1"/>
    <n v="-15"/>
    <x v="6"/>
    <x v="1"/>
    <x v="6"/>
  </r>
  <r>
    <x v="167"/>
    <s v="Drink"/>
    <n v="5"/>
    <m/>
    <x v="1"/>
    <x v="1"/>
    <x v="1"/>
    <n v="-5"/>
    <x v="6"/>
    <x v="1"/>
    <x v="6"/>
  </r>
  <r>
    <x v="168"/>
    <s v="Drink"/>
    <n v="5"/>
    <m/>
    <x v="1"/>
    <x v="1"/>
    <x v="1"/>
    <n v="-5"/>
    <x v="6"/>
    <x v="2"/>
    <x v="6"/>
  </r>
  <r>
    <x v="169"/>
    <s v="Drink"/>
    <n v="5"/>
    <m/>
    <x v="1"/>
    <x v="1"/>
    <x v="1"/>
    <n v="-5"/>
    <x v="6"/>
    <x v="3"/>
    <x v="6"/>
  </r>
  <r>
    <x v="169"/>
    <s v="Green's"/>
    <n v="180"/>
    <m/>
    <x v="4"/>
    <x v="2"/>
    <x v="1"/>
    <n v="-180"/>
    <x v="6"/>
    <x v="3"/>
    <x v="6"/>
  </r>
  <r>
    <x v="170"/>
    <s v="Power source"/>
    <n v="56.1"/>
    <m/>
    <x v="5"/>
    <x v="2"/>
    <x v="1"/>
    <n v="-56.1"/>
    <x v="6"/>
    <x v="6"/>
    <x v="6"/>
  </r>
  <r>
    <x v="170"/>
    <s v="Drink"/>
    <n v="5"/>
    <m/>
    <x v="1"/>
    <x v="1"/>
    <x v="1"/>
    <n v="-5"/>
    <x v="6"/>
    <x v="6"/>
    <x v="6"/>
  </r>
  <r>
    <x v="171"/>
    <s v="Drink"/>
    <n v="5"/>
    <m/>
    <x v="1"/>
    <x v="1"/>
    <x v="1"/>
    <n v="-5"/>
    <x v="6"/>
    <x v="0"/>
    <x v="6"/>
  </r>
  <r>
    <x v="172"/>
    <s v="Fuel"/>
    <n v="83.1"/>
    <m/>
    <x v="15"/>
    <x v="3"/>
    <x v="1"/>
    <n v="-83.1"/>
    <x v="6"/>
    <x v="1"/>
    <x v="6"/>
  </r>
  <r>
    <x v="172"/>
    <s v="Drink"/>
    <n v="5"/>
    <m/>
    <x v="1"/>
    <x v="1"/>
    <x v="1"/>
    <n v="-5"/>
    <x v="6"/>
    <x v="1"/>
    <x v="6"/>
  </r>
  <r>
    <x v="173"/>
    <s v="Drink"/>
    <n v="5"/>
    <m/>
    <x v="1"/>
    <x v="1"/>
    <x v="1"/>
    <n v="-5"/>
    <x v="6"/>
    <x v="2"/>
    <x v="6"/>
  </r>
  <r>
    <x v="174"/>
    <s v="Green's"/>
    <n v="141.1"/>
    <m/>
    <x v="4"/>
    <x v="2"/>
    <x v="1"/>
    <n v="-141.1"/>
    <x v="6"/>
    <x v="3"/>
    <x v="6"/>
  </r>
  <r>
    <x v="174"/>
    <s v="Drink"/>
    <n v="5"/>
    <m/>
    <x v="1"/>
    <x v="1"/>
    <x v="1"/>
    <n v="-5"/>
    <x v="6"/>
    <x v="3"/>
    <x v="6"/>
  </r>
  <r>
    <x v="175"/>
    <s v="Drink"/>
    <n v="5"/>
    <m/>
    <x v="1"/>
    <x v="1"/>
    <x v="1"/>
    <n v="-5"/>
    <x v="6"/>
    <x v="4"/>
    <x v="6"/>
  </r>
  <r>
    <x v="175"/>
    <s v="Cinemas"/>
    <n v="45.8"/>
    <m/>
    <x v="6"/>
    <x v="4"/>
    <x v="1"/>
    <n v="-45.8"/>
    <x v="6"/>
    <x v="4"/>
    <x v="6"/>
  </r>
  <r>
    <x v="175"/>
    <s v="Fashionistas"/>
    <n v="103.80000000000001"/>
    <m/>
    <x v="7"/>
    <x v="4"/>
    <x v="1"/>
    <n v="-103.80000000000001"/>
    <x v="6"/>
    <x v="4"/>
    <x v="6"/>
  </r>
  <r>
    <x v="175"/>
    <s v="Burger"/>
    <n v="58"/>
    <m/>
    <x v="8"/>
    <x v="1"/>
    <x v="1"/>
    <n v="-58"/>
    <x v="6"/>
    <x v="4"/>
    <x v="6"/>
  </r>
  <r>
    <x v="176"/>
    <s v="Uba"/>
    <n v="34.200000000000003"/>
    <m/>
    <x v="9"/>
    <x v="3"/>
    <x v="1"/>
    <n v="-34.200000000000003"/>
    <x v="6"/>
    <x v="5"/>
    <x v="6"/>
  </r>
  <r>
    <x v="177"/>
    <s v="Onlne earning"/>
    <m/>
    <n v="200"/>
    <x v="10"/>
    <x v="5"/>
    <x v="0"/>
    <n v="200"/>
    <x v="6"/>
    <x v="6"/>
    <x v="6"/>
  </r>
  <r>
    <x v="177"/>
    <s v="Drink"/>
    <n v="5"/>
    <m/>
    <x v="1"/>
    <x v="1"/>
    <x v="1"/>
    <n v="-5"/>
    <x v="6"/>
    <x v="6"/>
    <x v="6"/>
  </r>
  <r>
    <x v="178"/>
    <s v="Drink"/>
    <n v="5"/>
    <m/>
    <x v="1"/>
    <x v="1"/>
    <x v="1"/>
    <n v="-5"/>
    <x v="6"/>
    <x v="0"/>
    <x v="6"/>
  </r>
  <r>
    <x v="178"/>
    <s v="Phone"/>
    <n v="40"/>
    <m/>
    <x v="12"/>
    <x v="2"/>
    <x v="1"/>
    <n v="-40"/>
    <x v="6"/>
    <x v="0"/>
    <x v="6"/>
  </r>
  <r>
    <x v="179"/>
    <s v="Sallah give away"/>
    <n v="51.1"/>
    <m/>
    <x v="13"/>
    <x v="4"/>
    <x v="1"/>
    <n v="-51.1"/>
    <x v="6"/>
    <x v="1"/>
    <x v="6"/>
  </r>
  <r>
    <x v="179"/>
    <s v="Online streaming"/>
    <n v="35"/>
    <m/>
    <x v="6"/>
    <x v="4"/>
    <x v="1"/>
    <n v="-35"/>
    <x v="6"/>
    <x v="1"/>
    <x v="6"/>
  </r>
  <r>
    <x v="179"/>
    <s v="Drink"/>
    <n v="5"/>
    <m/>
    <x v="1"/>
    <x v="1"/>
    <x v="1"/>
    <n v="-5"/>
    <x v="6"/>
    <x v="1"/>
    <x v="6"/>
  </r>
  <r>
    <x v="180"/>
    <s v="Drink"/>
    <n v="5"/>
    <m/>
    <x v="1"/>
    <x v="1"/>
    <x v="1"/>
    <n v="-5"/>
    <x v="6"/>
    <x v="2"/>
    <x v="6"/>
  </r>
  <r>
    <x v="181"/>
    <s v="Drink"/>
    <n v="5"/>
    <m/>
    <x v="1"/>
    <x v="1"/>
    <x v="1"/>
    <n v="-5"/>
    <x v="6"/>
    <x v="3"/>
    <x v="6"/>
  </r>
  <r>
    <x v="181"/>
    <s v="Green's"/>
    <n v="176"/>
    <m/>
    <x v="4"/>
    <x v="2"/>
    <x v="1"/>
    <n v="-176"/>
    <x v="6"/>
    <x v="3"/>
    <x v="6"/>
  </r>
  <r>
    <x v="182"/>
    <s v="Suya"/>
    <n v="43.1"/>
    <m/>
    <x v="8"/>
    <x v="1"/>
    <x v="1"/>
    <n v="-43.1"/>
    <x v="6"/>
    <x v="4"/>
    <x v="6"/>
  </r>
  <r>
    <x v="183"/>
    <s v="Oha soup/White soup"/>
    <n v="18.2"/>
    <m/>
    <x v="8"/>
    <x v="1"/>
    <x v="1"/>
    <n v="-18.2"/>
    <x v="6"/>
    <x v="5"/>
    <x v="6"/>
  </r>
  <r>
    <x v="184"/>
    <s v="Orphanage"/>
    <n v="55"/>
    <m/>
    <x v="14"/>
    <x v="6"/>
    <x v="1"/>
    <n v="-55"/>
    <x v="6"/>
    <x v="6"/>
    <x v="6"/>
  </r>
  <r>
    <x v="184"/>
    <s v="Fuel"/>
    <n v="68.800000000000011"/>
    <m/>
    <x v="15"/>
    <x v="3"/>
    <x v="1"/>
    <n v="-68.800000000000011"/>
    <x v="6"/>
    <x v="6"/>
    <x v="6"/>
  </r>
  <r>
    <x v="184"/>
    <s v="Drink"/>
    <n v="5"/>
    <m/>
    <x v="1"/>
    <x v="1"/>
    <x v="1"/>
    <n v="-5"/>
    <x v="6"/>
    <x v="6"/>
    <x v="6"/>
  </r>
  <r>
    <x v="185"/>
    <s v="Drink"/>
    <n v="5"/>
    <m/>
    <x v="1"/>
    <x v="1"/>
    <x v="1"/>
    <n v="-5"/>
    <x v="6"/>
    <x v="0"/>
    <x v="6"/>
  </r>
  <r>
    <x v="186"/>
    <s v="Drink"/>
    <n v="5"/>
    <m/>
    <x v="1"/>
    <x v="1"/>
    <x v="1"/>
    <n v="-5"/>
    <x v="6"/>
    <x v="1"/>
    <x v="6"/>
  </r>
  <r>
    <x v="187"/>
    <s v="Drink"/>
    <n v="5"/>
    <m/>
    <x v="1"/>
    <x v="1"/>
    <x v="1"/>
    <n v="-5"/>
    <x v="6"/>
    <x v="2"/>
    <x v="6"/>
  </r>
  <r>
    <x v="188"/>
    <s v="Drink"/>
    <n v="5"/>
    <m/>
    <x v="1"/>
    <x v="1"/>
    <x v="1"/>
    <n v="-5"/>
    <x v="6"/>
    <x v="3"/>
    <x v="6"/>
  </r>
  <r>
    <x v="188"/>
    <s v="Green's"/>
    <n v="193"/>
    <m/>
    <x v="4"/>
    <x v="2"/>
    <x v="1"/>
    <n v="-193"/>
    <x v="6"/>
    <x v="3"/>
    <x v="6"/>
  </r>
  <r>
    <x v="189"/>
    <s v="Trainers"/>
    <n v="130.80000000000001"/>
    <m/>
    <x v="7"/>
    <x v="4"/>
    <x v="1"/>
    <n v="-130.80000000000001"/>
    <x v="6"/>
    <x v="4"/>
    <x v="6"/>
  </r>
  <r>
    <x v="189"/>
    <s v="Home décor"/>
    <n v="181.39999999999998"/>
    <m/>
    <x v="17"/>
    <x v="4"/>
    <x v="1"/>
    <n v="-181.39999999999998"/>
    <x v="6"/>
    <x v="4"/>
    <x v="6"/>
  </r>
  <r>
    <x v="190"/>
    <s v="Fashionistas"/>
    <n v="151.19999999999999"/>
    <m/>
    <x v="7"/>
    <x v="4"/>
    <x v="1"/>
    <n v="-151.19999999999999"/>
    <x v="6"/>
    <x v="5"/>
    <x v="6"/>
  </r>
  <r>
    <x v="190"/>
    <s v="Uba"/>
    <n v="29.300000000000004"/>
    <m/>
    <x v="9"/>
    <x v="3"/>
    <x v="1"/>
    <n v="-29.300000000000004"/>
    <x v="6"/>
    <x v="5"/>
    <x v="6"/>
  </r>
  <r>
    <x v="190"/>
    <s v="Foodary"/>
    <n v="15"/>
    <m/>
    <x v="8"/>
    <x v="1"/>
    <x v="1"/>
    <n v="-15"/>
    <x v="6"/>
    <x v="5"/>
    <x v="6"/>
  </r>
  <r>
    <x v="191"/>
    <s v="Drink"/>
    <n v="5"/>
    <m/>
    <x v="1"/>
    <x v="1"/>
    <x v="1"/>
    <n v="-5"/>
    <x v="6"/>
    <x v="6"/>
    <x v="6"/>
  </r>
  <r>
    <x v="192"/>
    <s v="Drink"/>
    <n v="5"/>
    <m/>
    <x v="1"/>
    <x v="1"/>
    <x v="1"/>
    <n v="-5"/>
    <x v="7"/>
    <x v="5"/>
    <x v="7"/>
  </r>
  <r>
    <x v="192"/>
    <s v="Data With Decision"/>
    <m/>
    <n v="5000"/>
    <x v="0"/>
    <x v="0"/>
    <x v="0"/>
    <n v="5000"/>
    <x v="7"/>
    <x v="5"/>
    <x v="7"/>
  </r>
  <r>
    <x v="193"/>
    <s v="Drink"/>
    <n v="5"/>
    <m/>
    <x v="1"/>
    <x v="1"/>
    <x v="1"/>
    <n v="-5"/>
    <x v="7"/>
    <x v="6"/>
    <x v="7"/>
  </r>
  <r>
    <x v="194"/>
    <s v="Estate Mangement"/>
    <n v="900"/>
    <m/>
    <x v="2"/>
    <x v="2"/>
    <x v="1"/>
    <n v="-900"/>
    <x v="7"/>
    <x v="1"/>
    <x v="7"/>
  </r>
  <r>
    <x v="194"/>
    <s v="Financail upgrade"/>
    <n v="150"/>
    <m/>
    <x v="3"/>
    <x v="3"/>
    <x v="1"/>
    <n v="-150"/>
    <x v="7"/>
    <x v="1"/>
    <x v="7"/>
  </r>
  <r>
    <x v="194"/>
    <s v="Drink"/>
    <n v="5"/>
    <m/>
    <x v="1"/>
    <x v="1"/>
    <x v="1"/>
    <n v="-5"/>
    <x v="7"/>
    <x v="1"/>
    <x v="7"/>
  </r>
  <r>
    <x v="194"/>
    <s v="Drink"/>
    <n v="5"/>
    <m/>
    <x v="1"/>
    <x v="1"/>
    <x v="1"/>
    <n v="-5"/>
    <x v="7"/>
    <x v="1"/>
    <x v="7"/>
  </r>
  <r>
    <x v="195"/>
    <s v="Drink"/>
    <n v="5"/>
    <m/>
    <x v="1"/>
    <x v="1"/>
    <x v="1"/>
    <n v="-5"/>
    <x v="7"/>
    <x v="2"/>
    <x v="7"/>
  </r>
  <r>
    <x v="196"/>
    <s v="Drink"/>
    <n v="5"/>
    <m/>
    <x v="1"/>
    <x v="1"/>
    <x v="1"/>
    <n v="-5"/>
    <x v="7"/>
    <x v="3"/>
    <x v="7"/>
  </r>
  <r>
    <x v="196"/>
    <s v="Green's"/>
    <n v="137"/>
    <m/>
    <x v="4"/>
    <x v="2"/>
    <x v="1"/>
    <n v="-137"/>
    <x v="7"/>
    <x v="3"/>
    <x v="7"/>
  </r>
  <r>
    <x v="197"/>
    <s v="Power source"/>
    <n v="57"/>
    <m/>
    <x v="5"/>
    <x v="2"/>
    <x v="1"/>
    <n v="-57"/>
    <x v="7"/>
    <x v="6"/>
    <x v="7"/>
  </r>
  <r>
    <x v="197"/>
    <s v="Drink"/>
    <n v="5"/>
    <m/>
    <x v="1"/>
    <x v="1"/>
    <x v="1"/>
    <n v="-5"/>
    <x v="7"/>
    <x v="6"/>
    <x v="7"/>
  </r>
  <r>
    <x v="198"/>
    <s v="Drink"/>
    <n v="5"/>
    <m/>
    <x v="1"/>
    <x v="1"/>
    <x v="1"/>
    <n v="-5"/>
    <x v="7"/>
    <x v="0"/>
    <x v="7"/>
  </r>
  <r>
    <x v="199"/>
    <s v="Fuel"/>
    <n v="84.199999999999989"/>
    <m/>
    <x v="15"/>
    <x v="3"/>
    <x v="1"/>
    <n v="-84.199999999999989"/>
    <x v="7"/>
    <x v="1"/>
    <x v="7"/>
  </r>
  <r>
    <x v="199"/>
    <s v="Drink"/>
    <n v="5"/>
    <m/>
    <x v="1"/>
    <x v="1"/>
    <x v="1"/>
    <n v="-5"/>
    <x v="7"/>
    <x v="1"/>
    <x v="7"/>
  </r>
  <r>
    <x v="200"/>
    <s v="Drink"/>
    <n v="5"/>
    <m/>
    <x v="1"/>
    <x v="1"/>
    <x v="1"/>
    <n v="-5"/>
    <x v="7"/>
    <x v="2"/>
    <x v="7"/>
  </r>
  <r>
    <x v="201"/>
    <s v="Green's"/>
    <n v="142.1"/>
    <m/>
    <x v="4"/>
    <x v="2"/>
    <x v="1"/>
    <n v="-142.1"/>
    <x v="7"/>
    <x v="3"/>
    <x v="7"/>
  </r>
  <r>
    <x v="201"/>
    <s v="Drink"/>
    <n v="5"/>
    <m/>
    <x v="1"/>
    <x v="1"/>
    <x v="1"/>
    <n v="-5"/>
    <x v="7"/>
    <x v="3"/>
    <x v="7"/>
  </r>
  <r>
    <x v="202"/>
    <s v="Drink"/>
    <n v="5"/>
    <m/>
    <x v="1"/>
    <x v="1"/>
    <x v="1"/>
    <n v="-5"/>
    <x v="7"/>
    <x v="4"/>
    <x v="7"/>
  </r>
  <r>
    <x v="202"/>
    <s v="Cinemas"/>
    <n v="46.8"/>
    <m/>
    <x v="6"/>
    <x v="4"/>
    <x v="1"/>
    <n v="-46.8"/>
    <x v="7"/>
    <x v="4"/>
    <x v="7"/>
  </r>
  <r>
    <x v="202"/>
    <s v="Fashionistas"/>
    <n v="104.70000000000002"/>
    <m/>
    <x v="7"/>
    <x v="4"/>
    <x v="1"/>
    <n v="-104.70000000000002"/>
    <x v="7"/>
    <x v="4"/>
    <x v="7"/>
  </r>
  <r>
    <x v="202"/>
    <s v="Burger"/>
    <n v="59.1"/>
    <m/>
    <x v="8"/>
    <x v="1"/>
    <x v="1"/>
    <n v="-59.1"/>
    <x v="7"/>
    <x v="4"/>
    <x v="7"/>
  </r>
  <r>
    <x v="203"/>
    <s v="Uba"/>
    <n v="35.1"/>
    <m/>
    <x v="9"/>
    <x v="3"/>
    <x v="1"/>
    <n v="-35.1"/>
    <x v="7"/>
    <x v="5"/>
    <x v="7"/>
  </r>
  <r>
    <x v="204"/>
    <s v="Onlne earning"/>
    <m/>
    <n v="800"/>
    <x v="10"/>
    <x v="5"/>
    <x v="0"/>
    <n v="800"/>
    <x v="7"/>
    <x v="6"/>
    <x v="7"/>
  </r>
  <r>
    <x v="204"/>
    <s v="Drink"/>
    <n v="5"/>
    <m/>
    <x v="1"/>
    <x v="1"/>
    <x v="1"/>
    <n v="-5"/>
    <x v="7"/>
    <x v="6"/>
    <x v="7"/>
  </r>
  <r>
    <x v="205"/>
    <s v="Drink"/>
    <n v="5"/>
    <m/>
    <x v="1"/>
    <x v="1"/>
    <x v="1"/>
    <n v="-5"/>
    <x v="7"/>
    <x v="0"/>
    <x v="7"/>
  </r>
  <r>
    <x v="205"/>
    <s v="Phone"/>
    <n v="40"/>
    <m/>
    <x v="12"/>
    <x v="2"/>
    <x v="1"/>
    <n v="-40"/>
    <x v="7"/>
    <x v="0"/>
    <x v="7"/>
  </r>
  <r>
    <x v="206"/>
    <s v="Sallah give away"/>
    <n v="52.1"/>
    <m/>
    <x v="13"/>
    <x v="4"/>
    <x v="1"/>
    <n v="-52.1"/>
    <x v="7"/>
    <x v="1"/>
    <x v="7"/>
  </r>
  <r>
    <x v="206"/>
    <s v="Online streaming"/>
    <n v="35"/>
    <m/>
    <x v="6"/>
    <x v="4"/>
    <x v="1"/>
    <n v="-35"/>
    <x v="7"/>
    <x v="1"/>
    <x v="7"/>
  </r>
  <r>
    <x v="206"/>
    <s v="Drink"/>
    <n v="5"/>
    <m/>
    <x v="1"/>
    <x v="1"/>
    <x v="1"/>
    <n v="-5"/>
    <x v="7"/>
    <x v="1"/>
    <x v="7"/>
  </r>
  <r>
    <x v="207"/>
    <s v="Drink"/>
    <n v="5"/>
    <m/>
    <x v="1"/>
    <x v="1"/>
    <x v="1"/>
    <n v="-5"/>
    <x v="7"/>
    <x v="2"/>
    <x v="7"/>
  </r>
  <r>
    <x v="208"/>
    <s v="Drink"/>
    <n v="5"/>
    <m/>
    <x v="1"/>
    <x v="1"/>
    <x v="1"/>
    <n v="-5"/>
    <x v="7"/>
    <x v="3"/>
    <x v="7"/>
  </r>
  <r>
    <x v="208"/>
    <s v="Green's"/>
    <n v="177"/>
    <m/>
    <x v="4"/>
    <x v="2"/>
    <x v="1"/>
    <n v="-177"/>
    <x v="7"/>
    <x v="3"/>
    <x v="7"/>
  </r>
  <r>
    <x v="209"/>
    <s v="Suya"/>
    <n v="44.2"/>
    <m/>
    <x v="8"/>
    <x v="1"/>
    <x v="1"/>
    <n v="-44.2"/>
    <x v="7"/>
    <x v="4"/>
    <x v="7"/>
  </r>
  <r>
    <x v="210"/>
    <s v="Oha soup/White soup"/>
    <n v="19.2"/>
    <m/>
    <x v="8"/>
    <x v="1"/>
    <x v="1"/>
    <n v="-19.2"/>
    <x v="7"/>
    <x v="5"/>
    <x v="7"/>
  </r>
  <r>
    <x v="211"/>
    <s v="Orphanage"/>
    <n v="55"/>
    <m/>
    <x v="14"/>
    <x v="6"/>
    <x v="1"/>
    <n v="-55"/>
    <x v="7"/>
    <x v="6"/>
    <x v="7"/>
  </r>
  <r>
    <x v="211"/>
    <s v="Fuel"/>
    <n v="69.700000000000017"/>
    <m/>
    <x v="15"/>
    <x v="3"/>
    <x v="1"/>
    <n v="-69.700000000000017"/>
    <x v="7"/>
    <x v="6"/>
    <x v="7"/>
  </r>
  <r>
    <x v="211"/>
    <s v="Drink"/>
    <n v="5"/>
    <m/>
    <x v="1"/>
    <x v="1"/>
    <x v="1"/>
    <n v="-5"/>
    <x v="7"/>
    <x v="6"/>
    <x v="7"/>
  </r>
  <r>
    <x v="212"/>
    <s v="Drink"/>
    <n v="5"/>
    <m/>
    <x v="1"/>
    <x v="1"/>
    <x v="1"/>
    <n v="-5"/>
    <x v="7"/>
    <x v="0"/>
    <x v="7"/>
  </r>
  <r>
    <x v="213"/>
    <s v="Drink"/>
    <n v="5"/>
    <m/>
    <x v="1"/>
    <x v="1"/>
    <x v="1"/>
    <n v="-5"/>
    <x v="7"/>
    <x v="1"/>
    <x v="7"/>
  </r>
  <r>
    <x v="214"/>
    <s v="Drink"/>
    <n v="5"/>
    <m/>
    <x v="1"/>
    <x v="1"/>
    <x v="1"/>
    <n v="-5"/>
    <x v="7"/>
    <x v="2"/>
    <x v="7"/>
  </r>
  <r>
    <x v="215"/>
    <s v="Drink"/>
    <n v="5"/>
    <m/>
    <x v="1"/>
    <x v="1"/>
    <x v="1"/>
    <n v="-5"/>
    <x v="7"/>
    <x v="3"/>
    <x v="7"/>
  </r>
  <r>
    <x v="215"/>
    <s v="Green's"/>
    <n v="117"/>
    <m/>
    <x v="4"/>
    <x v="2"/>
    <x v="1"/>
    <n v="-117"/>
    <x v="7"/>
    <x v="3"/>
    <x v="7"/>
  </r>
  <r>
    <x v="216"/>
    <s v="Trainers"/>
    <n v="131.9"/>
    <m/>
    <x v="7"/>
    <x v="4"/>
    <x v="1"/>
    <n v="-131.9"/>
    <x v="7"/>
    <x v="4"/>
    <x v="7"/>
  </r>
  <r>
    <x v="216"/>
    <s v="Hangingout/Ticket"/>
    <n v="182.39999999999998"/>
    <m/>
    <x v="6"/>
    <x v="4"/>
    <x v="1"/>
    <n v="-182.39999999999998"/>
    <x v="7"/>
    <x v="4"/>
    <x v="7"/>
  </r>
  <r>
    <x v="217"/>
    <s v="Fashionistas"/>
    <n v="152.29999999999998"/>
    <m/>
    <x v="7"/>
    <x v="4"/>
    <x v="1"/>
    <n v="-152.29999999999998"/>
    <x v="7"/>
    <x v="5"/>
    <x v="7"/>
  </r>
  <r>
    <x v="217"/>
    <s v="Uba"/>
    <n v="30.300000000000004"/>
    <m/>
    <x v="9"/>
    <x v="3"/>
    <x v="1"/>
    <n v="-30.300000000000004"/>
    <x v="7"/>
    <x v="5"/>
    <x v="7"/>
  </r>
  <r>
    <x v="217"/>
    <s v="Foodary"/>
    <n v="15"/>
    <m/>
    <x v="8"/>
    <x v="1"/>
    <x v="1"/>
    <n v="-15"/>
    <x v="7"/>
    <x v="5"/>
    <x v="7"/>
  </r>
  <r>
    <x v="218"/>
    <s v="Drink"/>
    <n v="5"/>
    <m/>
    <x v="1"/>
    <x v="1"/>
    <x v="1"/>
    <n v="-5"/>
    <x v="7"/>
    <x v="6"/>
    <x v="7"/>
  </r>
  <r>
    <x v="219"/>
    <s v="Drink"/>
    <n v="5"/>
    <m/>
    <x v="1"/>
    <x v="1"/>
    <x v="1"/>
    <n v="-5"/>
    <x v="8"/>
    <x v="5"/>
    <x v="8"/>
  </r>
  <r>
    <x v="219"/>
    <s v="Data With Decision"/>
    <m/>
    <n v="5000"/>
    <x v="0"/>
    <x v="0"/>
    <x v="0"/>
    <n v="5000"/>
    <x v="8"/>
    <x v="5"/>
    <x v="8"/>
  </r>
  <r>
    <x v="220"/>
    <s v="Drink"/>
    <n v="5"/>
    <m/>
    <x v="1"/>
    <x v="1"/>
    <x v="1"/>
    <n v="-5"/>
    <x v="8"/>
    <x v="6"/>
    <x v="8"/>
  </r>
  <r>
    <x v="221"/>
    <s v="Estate Mangement"/>
    <n v="900"/>
    <m/>
    <x v="2"/>
    <x v="2"/>
    <x v="1"/>
    <n v="-900"/>
    <x v="8"/>
    <x v="1"/>
    <x v="8"/>
  </r>
  <r>
    <x v="221"/>
    <s v="Financail upgrade"/>
    <n v="150"/>
    <m/>
    <x v="3"/>
    <x v="3"/>
    <x v="1"/>
    <n v="-150"/>
    <x v="8"/>
    <x v="1"/>
    <x v="8"/>
  </r>
  <r>
    <x v="221"/>
    <s v="Drink"/>
    <n v="5"/>
    <m/>
    <x v="1"/>
    <x v="1"/>
    <x v="1"/>
    <n v="-5"/>
    <x v="8"/>
    <x v="1"/>
    <x v="8"/>
  </r>
  <r>
    <x v="221"/>
    <s v="Drink"/>
    <n v="5"/>
    <m/>
    <x v="1"/>
    <x v="1"/>
    <x v="1"/>
    <n v="-5"/>
    <x v="8"/>
    <x v="1"/>
    <x v="8"/>
  </r>
  <r>
    <x v="222"/>
    <s v="Drink"/>
    <n v="5"/>
    <m/>
    <x v="1"/>
    <x v="1"/>
    <x v="1"/>
    <n v="-5"/>
    <x v="8"/>
    <x v="2"/>
    <x v="8"/>
  </r>
  <r>
    <x v="223"/>
    <s v="Drink"/>
    <n v="5"/>
    <m/>
    <x v="1"/>
    <x v="1"/>
    <x v="1"/>
    <n v="-5"/>
    <x v="8"/>
    <x v="3"/>
    <x v="8"/>
  </r>
  <r>
    <x v="223"/>
    <s v="Green's"/>
    <n v="163.39999999999998"/>
    <m/>
    <x v="4"/>
    <x v="2"/>
    <x v="1"/>
    <n v="-163.39999999999998"/>
    <x v="8"/>
    <x v="3"/>
    <x v="8"/>
  </r>
  <r>
    <x v="224"/>
    <s v="Power source"/>
    <n v="58.1"/>
    <m/>
    <x v="5"/>
    <x v="2"/>
    <x v="1"/>
    <n v="-58.1"/>
    <x v="8"/>
    <x v="6"/>
    <x v="8"/>
  </r>
  <r>
    <x v="224"/>
    <s v="Drink"/>
    <n v="5"/>
    <m/>
    <x v="1"/>
    <x v="1"/>
    <x v="1"/>
    <n v="-5"/>
    <x v="8"/>
    <x v="6"/>
    <x v="8"/>
  </r>
  <r>
    <x v="225"/>
    <s v="Drink"/>
    <n v="5"/>
    <m/>
    <x v="1"/>
    <x v="1"/>
    <x v="1"/>
    <n v="-5"/>
    <x v="8"/>
    <x v="0"/>
    <x v="8"/>
  </r>
  <r>
    <x v="226"/>
    <s v="Fuel"/>
    <n v="85.299999999999983"/>
    <m/>
    <x v="15"/>
    <x v="3"/>
    <x v="1"/>
    <n v="-85.299999999999983"/>
    <x v="8"/>
    <x v="1"/>
    <x v="8"/>
  </r>
  <r>
    <x v="226"/>
    <s v="Drink"/>
    <n v="5"/>
    <m/>
    <x v="1"/>
    <x v="1"/>
    <x v="1"/>
    <n v="-5"/>
    <x v="8"/>
    <x v="1"/>
    <x v="8"/>
  </r>
  <r>
    <x v="227"/>
    <s v="Drink"/>
    <n v="5"/>
    <m/>
    <x v="1"/>
    <x v="1"/>
    <x v="1"/>
    <n v="-5"/>
    <x v="8"/>
    <x v="2"/>
    <x v="8"/>
  </r>
  <r>
    <x v="228"/>
    <s v="Green's"/>
    <n v="143"/>
    <m/>
    <x v="4"/>
    <x v="2"/>
    <x v="1"/>
    <n v="-143"/>
    <x v="8"/>
    <x v="3"/>
    <x v="8"/>
  </r>
  <r>
    <x v="228"/>
    <s v="Drink"/>
    <n v="5"/>
    <m/>
    <x v="1"/>
    <x v="1"/>
    <x v="1"/>
    <n v="-5"/>
    <x v="8"/>
    <x v="3"/>
    <x v="8"/>
  </r>
  <r>
    <x v="229"/>
    <s v="Drink"/>
    <n v="5"/>
    <m/>
    <x v="1"/>
    <x v="1"/>
    <x v="1"/>
    <n v="-5"/>
    <x v="8"/>
    <x v="4"/>
    <x v="8"/>
  </r>
  <r>
    <x v="229"/>
    <s v="Cinemas"/>
    <n v="47.8"/>
    <m/>
    <x v="6"/>
    <x v="4"/>
    <x v="1"/>
    <n v="-47.8"/>
    <x v="8"/>
    <x v="4"/>
    <x v="8"/>
  </r>
  <r>
    <x v="229"/>
    <s v="Fashionistas"/>
    <n v="105.80000000000001"/>
    <m/>
    <x v="7"/>
    <x v="4"/>
    <x v="1"/>
    <n v="-105.80000000000001"/>
    <x v="8"/>
    <x v="4"/>
    <x v="8"/>
  </r>
  <r>
    <x v="229"/>
    <s v="Burger"/>
    <n v="60.1"/>
    <m/>
    <x v="8"/>
    <x v="1"/>
    <x v="1"/>
    <n v="-60.1"/>
    <x v="8"/>
    <x v="4"/>
    <x v="8"/>
  </r>
  <r>
    <x v="230"/>
    <s v="Uba"/>
    <n v="36.200000000000003"/>
    <m/>
    <x v="9"/>
    <x v="3"/>
    <x v="1"/>
    <n v="-36.200000000000003"/>
    <x v="8"/>
    <x v="5"/>
    <x v="8"/>
  </r>
  <r>
    <x v="231"/>
    <s v="Onlne earning"/>
    <m/>
    <n v="100"/>
    <x v="10"/>
    <x v="5"/>
    <x v="0"/>
    <n v="100"/>
    <x v="8"/>
    <x v="6"/>
    <x v="8"/>
  </r>
  <r>
    <x v="231"/>
    <s v="Drink"/>
    <n v="5"/>
    <m/>
    <x v="1"/>
    <x v="1"/>
    <x v="1"/>
    <n v="-5"/>
    <x v="8"/>
    <x v="6"/>
    <x v="8"/>
  </r>
  <r>
    <x v="232"/>
    <s v="Drink"/>
    <n v="5"/>
    <m/>
    <x v="1"/>
    <x v="1"/>
    <x v="1"/>
    <n v="-5"/>
    <x v="8"/>
    <x v="0"/>
    <x v="8"/>
  </r>
  <r>
    <x v="232"/>
    <s v="Phone"/>
    <n v="40"/>
    <m/>
    <x v="12"/>
    <x v="2"/>
    <x v="1"/>
    <n v="-40"/>
    <x v="8"/>
    <x v="0"/>
    <x v="8"/>
  </r>
  <r>
    <x v="233"/>
    <s v="Sallah give away"/>
    <n v="53"/>
    <m/>
    <x v="13"/>
    <x v="4"/>
    <x v="1"/>
    <n v="-53"/>
    <x v="8"/>
    <x v="1"/>
    <x v="8"/>
  </r>
  <r>
    <x v="233"/>
    <s v="Online streaming"/>
    <n v="35"/>
    <m/>
    <x v="6"/>
    <x v="4"/>
    <x v="1"/>
    <n v="-35"/>
    <x v="8"/>
    <x v="1"/>
    <x v="8"/>
  </r>
  <r>
    <x v="233"/>
    <s v="Drink"/>
    <n v="5"/>
    <m/>
    <x v="1"/>
    <x v="1"/>
    <x v="1"/>
    <n v="-5"/>
    <x v="8"/>
    <x v="1"/>
    <x v="8"/>
  </r>
  <r>
    <x v="234"/>
    <s v="Drink"/>
    <n v="5"/>
    <m/>
    <x v="1"/>
    <x v="1"/>
    <x v="1"/>
    <n v="-5"/>
    <x v="8"/>
    <x v="2"/>
    <x v="8"/>
  </r>
  <r>
    <x v="235"/>
    <s v="Drink"/>
    <n v="5"/>
    <m/>
    <x v="1"/>
    <x v="1"/>
    <x v="1"/>
    <n v="-5"/>
    <x v="8"/>
    <x v="3"/>
    <x v="8"/>
  </r>
  <r>
    <x v="235"/>
    <s v="Green's"/>
    <n v="177.9"/>
    <m/>
    <x v="4"/>
    <x v="2"/>
    <x v="1"/>
    <n v="-177.9"/>
    <x v="8"/>
    <x v="3"/>
    <x v="8"/>
  </r>
  <r>
    <x v="236"/>
    <s v="Suya"/>
    <n v="45.300000000000004"/>
    <m/>
    <x v="8"/>
    <x v="1"/>
    <x v="1"/>
    <n v="-45.300000000000004"/>
    <x v="8"/>
    <x v="4"/>
    <x v="8"/>
  </r>
  <r>
    <x v="237"/>
    <s v="Oha soup/White soup"/>
    <n v="20.099999999999998"/>
    <m/>
    <x v="8"/>
    <x v="1"/>
    <x v="1"/>
    <n v="-20.099999999999998"/>
    <x v="8"/>
    <x v="5"/>
    <x v="8"/>
  </r>
  <r>
    <x v="238"/>
    <s v="Orphanage"/>
    <n v="55"/>
    <m/>
    <x v="14"/>
    <x v="6"/>
    <x v="1"/>
    <n v="-55"/>
    <x v="8"/>
    <x v="6"/>
    <x v="8"/>
  </r>
  <r>
    <x v="238"/>
    <s v="Fuel"/>
    <n v="70.600000000000023"/>
    <m/>
    <x v="15"/>
    <x v="3"/>
    <x v="1"/>
    <n v="-70.600000000000023"/>
    <x v="8"/>
    <x v="6"/>
    <x v="8"/>
  </r>
  <r>
    <x v="238"/>
    <s v="Drink"/>
    <n v="5"/>
    <m/>
    <x v="1"/>
    <x v="1"/>
    <x v="1"/>
    <n v="-5"/>
    <x v="8"/>
    <x v="6"/>
    <x v="8"/>
  </r>
  <r>
    <x v="239"/>
    <s v="Drink"/>
    <n v="5"/>
    <m/>
    <x v="1"/>
    <x v="1"/>
    <x v="1"/>
    <n v="-5"/>
    <x v="8"/>
    <x v="0"/>
    <x v="8"/>
  </r>
  <r>
    <x v="240"/>
    <s v="Drink"/>
    <n v="5"/>
    <m/>
    <x v="1"/>
    <x v="1"/>
    <x v="1"/>
    <n v="-5"/>
    <x v="8"/>
    <x v="1"/>
    <x v="8"/>
  </r>
  <r>
    <x v="241"/>
    <s v="Drink"/>
    <n v="5"/>
    <m/>
    <x v="1"/>
    <x v="1"/>
    <x v="1"/>
    <n v="-5"/>
    <x v="8"/>
    <x v="2"/>
    <x v="8"/>
  </r>
  <r>
    <x v="242"/>
    <s v="Drink"/>
    <n v="5"/>
    <m/>
    <x v="1"/>
    <x v="1"/>
    <x v="1"/>
    <n v="-5"/>
    <x v="8"/>
    <x v="3"/>
    <x v="8"/>
  </r>
  <r>
    <x v="242"/>
    <s v="Green's"/>
    <n v="223"/>
    <m/>
    <x v="4"/>
    <x v="2"/>
    <x v="1"/>
    <n v="-223"/>
    <x v="8"/>
    <x v="3"/>
    <x v="8"/>
  </r>
  <r>
    <x v="243"/>
    <s v="Trainers"/>
    <n v="132.9"/>
    <m/>
    <x v="7"/>
    <x v="4"/>
    <x v="1"/>
    <n v="-132.9"/>
    <x v="8"/>
    <x v="4"/>
    <x v="8"/>
  </r>
  <r>
    <x v="243"/>
    <s v="Global Fashion"/>
    <n v="175"/>
    <m/>
    <x v="7"/>
    <x v="4"/>
    <x v="1"/>
    <n v="-175"/>
    <x v="8"/>
    <x v="4"/>
    <x v="8"/>
  </r>
  <r>
    <x v="244"/>
    <s v="Fashionistas"/>
    <n v="153.39999999999998"/>
    <m/>
    <x v="7"/>
    <x v="4"/>
    <x v="1"/>
    <n v="-153.39999999999998"/>
    <x v="8"/>
    <x v="5"/>
    <x v="8"/>
  </r>
  <r>
    <x v="244"/>
    <s v="Uba"/>
    <n v="31.200000000000003"/>
    <m/>
    <x v="9"/>
    <x v="3"/>
    <x v="1"/>
    <n v="-31.200000000000003"/>
    <x v="8"/>
    <x v="5"/>
    <x v="8"/>
  </r>
  <r>
    <x v="244"/>
    <s v="Foodary"/>
    <n v="15"/>
    <m/>
    <x v="8"/>
    <x v="1"/>
    <x v="1"/>
    <n v="-15"/>
    <x v="8"/>
    <x v="5"/>
    <x v="8"/>
  </r>
  <r>
    <x v="245"/>
    <s v="Drink"/>
    <n v="5"/>
    <m/>
    <x v="1"/>
    <x v="1"/>
    <x v="1"/>
    <n v="-5"/>
    <x v="9"/>
    <x v="4"/>
    <x v="9"/>
  </r>
  <r>
    <x v="246"/>
    <s v="Drink"/>
    <n v="5"/>
    <m/>
    <x v="1"/>
    <x v="1"/>
    <x v="1"/>
    <n v="-5"/>
    <x v="9"/>
    <x v="6"/>
    <x v="9"/>
  </r>
  <r>
    <x v="246"/>
    <s v="Data With Decision"/>
    <m/>
    <n v="5000"/>
    <x v="0"/>
    <x v="0"/>
    <x v="0"/>
    <n v="5000"/>
    <x v="9"/>
    <x v="6"/>
    <x v="9"/>
  </r>
  <r>
    <x v="247"/>
    <s v="Drink"/>
    <n v="5"/>
    <m/>
    <x v="1"/>
    <x v="1"/>
    <x v="1"/>
    <n v="-5"/>
    <x v="9"/>
    <x v="0"/>
    <x v="9"/>
  </r>
  <r>
    <x v="248"/>
    <s v="Estate Mangement"/>
    <n v="900"/>
    <m/>
    <x v="2"/>
    <x v="2"/>
    <x v="1"/>
    <n v="-900"/>
    <x v="9"/>
    <x v="2"/>
    <x v="9"/>
  </r>
  <r>
    <x v="248"/>
    <s v="Financail upgrade"/>
    <n v="150"/>
    <m/>
    <x v="3"/>
    <x v="3"/>
    <x v="1"/>
    <n v="-150"/>
    <x v="9"/>
    <x v="2"/>
    <x v="9"/>
  </r>
  <r>
    <x v="248"/>
    <s v="Drink"/>
    <n v="5"/>
    <m/>
    <x v="1"/>
    <x v="1"/>
    <x v="1"/>
    <n v="-5"/>
    <x v="9"/>
    <x v="2"/>
    <x v="9"/>
  </r>
  <r>
    <x v="248"/>
    <s v="Drink"/>
    <n v="5"/>
    <m/>
    <x v="1"/>
    <x v="1"/>
    <x v="1"/>
    <n v="-5"/>
    <x v="9"/>
    <x v="2"/>
    <x v="9"/>
  </r>
  <r>
    <x v="249"/>
    <s v="Drink"/>
    <n v="5"/>
    <m/>
    <x v="1"/>
    <x v="1"/>
    <x v="1"/>
    <n v="-5"/>
    <x v="9"/>
    <x v="3"/>
    <x v="9"/>
  </r>
  <r>
    <x v="250"/>
    <s v="Drink"/>
    <n v="5"/>
    <m/>
    <x v="1"/>
    <x v="1"/>
    <x v="1"/>
    <n v="-5"/>
    <x v="9"/>
    <x v="4"/>
    <x v="9"/>
  </r>
  <r>
    <x v="250"/>
    <s v="Green's"/>
    <n v="105"/>
    <m/>
    <x v="4"/>
    <x v="2"/>
    <x v="1"/>
    <n v="-105"/>
    <x v="9"/>
    <x v="4"/>
    <x v="9"/>
  </r>
  <r>
    <x v="251"/>
    <s v="Power source"/>
    <n v="59"/>
    <m/>
    <x v="5"/>
    <x v="2"/>
    <x v="1"/>
    <n v="-59"/>
    <x v="9"/>
    <x v="0"/>
    <x v="9"/>
  </r>
  <r>
    <x v="251"/>
    <s v="Drink"/>
    <n v="5"/>
    <m/>
    <x v="1"/>
    <x v="1"/>
    <x v="1"/>
    <n v="-5"/>
    <x v="9"/>
    <x v="0"/>
    <x v="9"/>
  </r>
  <r>
    <x v="252"/>
    <s v="Drink"/>
    <n v="5"/>
    <m/>
    <x v="1"/>
    <x v="1"/>
    <x v="1"/>
    <n v="-5"/>
    <x v="9"/>
    <x v="1"/>
    <x v="9"/>
  </r>
  <r>
    <x v="253"/>
    <s v="Fuel"/>
    <n v="86.399999999999977"/>
    <m/>
    <x v="15"/>
    <x v="3"/>
    <x v="1"/>
    <n v="-86.399999999999977"/>
    <x v="9"/>
    <x v="2"/>
    <x v="9"/>
  </r>
  <r>
    <x v="253"/>
    <s v="Drink"/>
    <n v="5"/>
    <m/>
    <x v="1"/>
    <x v="1"/>
    <x v="1"/>
    <n v="-5"/>
    <x v="9"/>
    <x v="2"/>
    <x v="9"/>
  </r>
  <r>
    <x v="254"/>
    <s v="Drink"/>
    <n v="5"/>
    <m/>
    <x v="1"/>
    <x v="1"/>
    <x v="1"/>
    <n v="-5"/>
    <x v="9"/>
    <x v="3"/>
    <x v="9"/>
  </r>
  <r>
    <x v="255"/>
    <s v="Green's"/>
    <n v="143.9"/>
    <m/>
    <x v="4"/>
    <x v="2"/>
    <x v="1"/>
    <n v="-143.9"/>
    <x v="9"/>
    <x v="4"/>
    <x v="9"/>
  </r>
  <r>
    <x v="255"/>
    <s v="Drink"/>
    <n v="5"/>
    <m/>
    <x v="1"/>
    <x v="1"/>
    <x v="1"/>
    <n v="-5"/>
    <x v="9"/>
    <x v="4"/>
    <x v="9"/>
  </r>
  <r>
    <x v="256"/>
    <s v="Drink"/>
    <n v="5"/>
    <m/>
    <x v="1"/>
    <x v="1"/>
    <x v="1"/>
    <n v="-5"/>
    <x v="9"/>
    <x v="5"/>
    <x v="9"/>
  </r>
  <r>
    <x v="256"/>
    <s v="Cinemas"/>
    <n v="48.8"/>
    <m/>
    <x v="6"/>
    <x v="4"/>
    <x v="1"/>
    <n v="-48.8"/>
    <x v="9"/>
    <x v="5"/>
    <x v="9"/>
  </r>
  <r>
    <x v="256"/>
    <s v="Fashionistas"/>
    <n v="106.70000000000002"/>
    <m/>
    <x v="7"/>
    <x v="4"/>
    <x v="1"/>
    <n v="-106.70000000000002"/>
    <x v="9"/>
    <x v="5"/>
    <x v="9"/>
  </r>
  <r>
    <x v="256"/>
    <s v="Burger"/>
    <n v="61.1"/>
    <m/>
    <x v="8"/>
    <x v="1"/>
    <x v="1"/>
    <n v="-61.1"/>
    <x v="9"/>
    <x v="5"/>
    <x v="9"/>
  </r>
  <r>
    <x v="257"/>
    <s v="Uba"/>
    <n v="37.200000000000003"/>
    <m/>
    <x v="9"/>
    <x v="3"/>
    <x v="1"/>
    <n v="-37.200000000000003"/>
    <x v="9"/>
    <x v="6"/>
    <x v="9"/>
  </r>
  <r>
    <x v="258"/>
    <s v="Onlne earning"/>
    <m/>
    <n v="100"/>
    <x v="10"/>
    <x v="5"/>
    <x v="0"/>
    <n v="100"/>
    <x v="9"/>
    <x v="0"/>
    <x v="9"/>
  </r>
  <r>
    <x v="258"/>
    <s v="Drink"/>
    <n v="5"/>
    <m/>
    <x v="1"/>
    <x v="1"/>
    <x v="1"/>
    <n v="-5"/>
    <x v="9"/>
    <x v="0"/>
    <x v="9"/>
  </r>
  <r>
    <x v="259"/>
    <s v="Drink"/>
    <n v="5"/>
    <m/>
    <x v="1"/>
    <x v="1"/>
    <x v="1"/>
    <n v="-5"/>
    <x v="9"/>
    <x v="1"/>
    <x v="9"/>
  </r>
  <r>
    <x v="259"/>
    <s v="Taken medication"/>
    <n v="75"/>
    <m/>
    <x v="16"/>
    <x v="7"/>
    <x v="1"/>
    <n v="-75"/>
    <x v="9"/>
    <x v="1"/>
    <x v="9"/>
  </r>
  <r>
    <x v="259"/>
    <s v="Phone"/>
    <n v="40"/>
    <m/>
    <x v="12"/>
    <x v="2"/>
    <x v="1"/>
    <n v="-40"/>
    <x v="9"/>
    <x v="1"/>
    <x v="9"/>
  </r>
  <r>
    <x v="260"/>
    <s v="Sallah give away"/>
    <n v="54.1"/>
    <m/>
    <x v="13"/>
    <x v="4"/>
    <x v="1"/>
    <n v="-54.1"/>
    <x v="9"/>
    <x v="2"/>
    <x v="9"/>
  </r>
  <r>
    <x v="260"/>
    <s v="Online streaming"/>
    <n v="35"/>
    <m/>
    <x v="6"/>
    <x v="4"/>
    <x v="1"/>
    <n v="-35"/>
    <x v="9"/>
    <x v="2"/>
    <x v="9"/>
  </r>
  <r>
    <x v="260"/>
    <s v="Drink"/>
    <n v="5"/>
    <m/>
    <x v="1"/>
    <x v="1"/>
    <x v="1"/>
    <n v="-5"/>
    <x v="9"/>
    <x v="2"/>
    <x v="9"/>
  </r>
  <r>
    <x v="261"/>
    <s v="Drink"/>
    <n v="5"/>
    <m/>
    <x v="1"/>
    <x v="1"/>
    <x v="1"/>
    <n v="-5"/>
    <x v="9"/>
    <x v="3"/>
    <x v="9"/>
  </r>
  <r>
    <x v="262"/>
    <s v="Drink"/>
    <n v="5"/>
    <m/>
    <x v="1"/>
    <x v="1"/>
    <x v="1"/>
    <n v="-5"/>
    <x v="9"/>
    <x v="4"/>
    <x v="9"/>
  </r>
  <r>
    <x v="262"/>
    <s v="Green's"/>
    <n v="178.9"/>
    <m/>
    <x v="4"/>
    <x v="2"/>
    <x v="1"/>
    <n v="-178.9"/>
    <x v="9"/>
    <x v="4"/>
    <x v="9"/>
  </r>
  <r>
    <x v="263"/>
    <s v="Suya"/>
    <n v="46.2"/>
    <m/>
    <x v="8"/>
    <x v="1"/>
    <x v="1"/>
    <n v="-46.2"/>
    <x v="9"/>
    <x v="5"/>
    <x v="9"/>
  </r>
  <r>
    <x v="264"/>
    <s v="Oha soup/White soup"/>
    <n v="21.099999999999998"/>
    <m/>
    <x v="8"/>
    <x v="1"/>
    <x v="1"/>
    <n v="-21.099999999999998"/>
    <x v="9"/>
    <x v="6"/>
    <x v="9"/>
  </r>
  <r>
    <x v="265"/>
    <s v="Orphanage"/>
    <n v="55"/>
    <m/>
    <x v="14"/>
    <x v="6"/>
    <x v="1"/>
    <n v="-55"/>
    <x v="9"/>
    <x v="0"/>
    <x v="9"/>
  </r>
  <r>
    <x v="265"/>
    <s v="Fuel"/>
    <n v="71.500000000000028"/>
    <m/>
    <x v="15"/>
    <x v="3"/>
    <x v="1"/>
    <n v="-71.500000000000028"/>
    <x v="9"/>
    <x v="0"/>
    <x v="9"/>
  </r>
  <r>
    <x v="265"/>
    <s v="Drink"/>
    <n v="5"/>
    <m/>
    <x v="1"/>
    <x v="1"/>
    <x v="1"/>
    <n v="-5"/>
    <x v="9"/>
    <x v="0"/>
    <x v="9"/>
  </r>
  <r>
    <x v="266"/>
    <s v="Drink"/>
    <n v="5"/>
    <m/>
    <x v="1"/>
    <x v="1"/>
    <x v="1"/>
    <n v="-5"/>
    <x v="9"/>
    <x v="1"/>
    <x v="9"/>
  </r>
  <r>
    <x v="267"/>
    <s v="Drink"/>
    <n v="5"/>
    <m/>
    <x v="1"/>
    <x v="1"/>
    <x v="1"/>
    <n v="-5"/>
    <x v="9"/>
    <x v="2"/>
    <x v="9"/>
  </r>
  <r>
    <x v="268"/>
    <s v="Drink"/>
    <n v="5"/>
    <m/>
    <x v="1"/>
    <x v="1"/>
    <x v="1"/>
    <n v="-5"/>
    <x v="9"/>
    <x v="3"/>
    <x v="9"/>
  </r>
  <r>
    <x v="269"/>
    <s v="Drink"/>
    <n v="5"/>
    <m/>
    <x v="1"/>
    <x v="1"/>
    <x v="1"/>
    <n v="-5"/>
    <x v="9"/>
    <x v="4"/>
    <x v="9"/>
  </r>
  <r>
    <x v="269"/>
    <s v="Green's"/>
    <n v="189"/>
    <m/>
    <x v="4"/>
    <x v="2"/>
    <x v="1"/>
    <n v="-189"/>
    <x v="9"/>
    <x v="4"/>
    <x v="9"/>
  </r>
  <r>
    <x v="270"/>
    <s v="Trainers"/>
    <n v="133.80000000000001"/>
    <m/>
    <x v="7"/>
    <x v="4"/>
    <x v="1"/>
    <n v="-133.80000000000001"/>
    <x v="9"/>
    <x v="5"/>
    <x v="9"/>
  </r>
  <r>
    <x v="270"/>
    <s v="Hangingout/Ticket"/>
    <n v="184.39999999999998"/>
    <m/>
    <x v="6"/>
    <x v="4"/>
    <x v="1"/>
    <n v="-184.39999999999998"/>
    <x v="9"/>
    <x v="5"/>
    <x v="9"/>
  </r>
  <r>
    <x v="271"/>
    <s v="Fashionistas"/>
    <n v="154.49999999999997"/>
    <m/>
    <x v="7"/>
    <x v="4"/>
    <x v="1"/>
    <n v="-154.49999999999997"/>
    <x v="9"/>
    <x v="6"/>
    <x v="9"/>
  </r>
  <r>
    <x v="271"/>
    <s v="Uba"/>
    <n v="32.1"/>
    <m/>
    <x v="9"/>
    <x v="3"/>
    <x v="1"/>
    <n v="-32.1"/>
    <x v="9"/>
    <x v="6"/>
    <x v="9"/>
  </r>
  <r>
    <x v="271"/>
    <s v="Foodary"/>
    <n v="15"/>
    <m/>
    <x v="8"/>
    <x v="1"/>
    <x v="1"/>
    <n v="-15"/>
    <x v="9"/>
    <x v="6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BDAE9-AEB3-45A3-B99D-CDD67A3F643B}" name="TablaDinámica4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 fieldListSortAscending="1">
  <location ref="M4:O5" firstHeaderRow="0" firstDataRow="1" firstDataCol="0"/>
  <pivotFields count="11">
    <pivotField numFmtId="14"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>
      <items count="1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Credit" fld="3" baseField="0" baseItem="0"/>
    <dataField name="Suma de Debit" fld="2" baseField="0" baseItem="0"/>
    <dataField name="Suma de Amount" fld="7" baseField="0" baseItem="0"/>
  </dataFields>
  <formats count="1">
    <format dxfId="21">
      <pivotArea outline="0" collapsedLevelsAreSubtotals="1" fieldPosition="0"/>
    </format>
  </formats>
  <chartFormats count="3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0ED792-A269-477A-A01C-D5916FFFFA59}" name="TablaDinámica5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fieldListSortAscending="1">
  <location ref="Q4:R8" firstHeaderRow="1" firstDataRow="1" firstDataCol="1" rowPageCount="1" colPageCount="1"/>
  <pivotFields count="11">
    <pivotField numFmtId="14" showAll="0"/>
    <pivotField showAll="0"/>
    <pivotField showAll="0"/>
    <pivotField showAll="0"/>
    <pivotField axis="axisRow" showAll="0">
      <items count="19">
        <item x="3"/>
        <item x="7"/>
        <item x="1"/>
        <item n="DWD" x="0"/>
        <item x="16"/>
        <item x="14"/>
        <item x="6"/>
        <item x="15"/>
        <item x="17"/>
        <item x="5"/>
        <item x="13"/>
        <item x="4"/>
        <item x="12"/>
        <item x="2"/>
        <item x="8"/>
        <item x="9"/>
        <item x="11"/>
        <item x="10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</pivotFields>
  <rowFields count="1">
    <field x="4"/>
  </rowFields>
  <rowItems count="4">
    <i>
      <x v="3"/>
    </i>
    <i>
      <x v="16"/>
    </i>
    <i>
      <x v="17"/>
    </i>
    <i t="grand">
      <x/>
    </i>
  </rowItems>
  <colItems count="1">
    <i/>
  </colItems>
  <pageFields count="1">
    <pageField fld="6" item="1" hier="-1"/>
  </pageFields>
  <dataFields count="1">
    <dataField name="Suma de Amount" fld="7" baseField="0" baseItem="0"/>
  </dataFields>
  <formats count="1">
    <format dxfId="20">
      <pivotArea outline="0" collapsedLevelsAreSubtotals="1" fieldPosition="0"/>
    </format>
  </formats>
  <chartFormats count="6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A0A94-EE21-4090-B7E4-91C7E6FEF75D}" name="TablaDinámica7" cacheId="1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4" fieldListSortAscending="1">
  <location ref="AC4:AD11" firstHeaderRow="1" firstDataRow="1" firstDataCol="1" rowPageCount="1" colPageCount="1"/>
  <pivotFields count="11">
    <pivotField numFmtId="14" showAll="0"/>
    <pivotField showAll="0"/>
    <pivotField dataField="1" showAll="0"/>
    <pivotField showAll="0"/>
    <pivotField showAll="0"/>
    <pivotField axis="axisRow" showAll="0" sortType="descending">
      <items count="17">
        <item m="1" x="11"/>
        <item m="1" x="8"/>
        <item m="1" x="13"/>
        <item m="1" x="15"/>
        <item m="1" x="10"/>
        <item m="1" x="12"/>
        <item m="1" x="9"/>
        <item m="1" x="14"/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 sortType="ascending"/>
    <pivotField showAll="0">
      <items count="1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5"/>
  </rowFields>
  <rowItems count="7">
    <i>
      <x v="10"/>
    </i>
    <i>
      <x v="12"/>
    </i>
    <i>
      <x v="11"/>
    </i>
    <i>
      <x v="9"/>
    </i>
    <i>
      <x v="15"/>
    </i>
    <i>
      <x v="14"/>
    </i>
    <i t="grand">
      <x/>
    </i>
  </rowItems>
  <colItems count="1">
    <i/>
  </colItems>
  <pageFields count="1">
    <pageField fld="6" item="0" hier="-1"/>
  </pageFields>
  <dataFields count="1">
    <dataField name="Suma de Debit" fld="2" baseField="0" baseItem="0"/>
  </dataFields>
  <formats count="2">
    <format dxfId="18">
      <pivotArea outline="0" collapsedLevelsAreSubtotals="1" fieldPosition="0"/>
    </format>
    <format dxfId="19">
      <pivotArea collapsedLevelsAreSubtotals="1" fieldPosition="0">
        <references count="1">
          <reference field="5" count="6">
            <x v="0"/>
            <x v="3"/>
            <x v="4"/>
            <x v="5"/>
            <x v="6"/>
            <x v="7"/>
          </reference>
        </references>
      </pivotArea>
    </format>
  </formats>
  <chartFormats count="6">
    <chartFormat chart="1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3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3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3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76D9C-530E-49DD-BE69-F67968D5136B}" name="TablaDinámica6" cacheId="1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4" fieldListSortAscending="1">
  <location ref="T4:Z13" firstHeaderRow="1" firstDataRow="2" firstDataCol="1" rowPageCount="1" colPageCount="1"/>
  <pivotFields count="11">
    <pivotField numFmtId="14" showAll="0"/>
    <pivotField showAll="0"/>
    <pivotField dataField="1" showAll="0"/>
    <pivotField showAll="0"/>
    <pivotField showAll="0"/>
    <pivotField axis="axisCol" showAll="0" sortType="descending">
      <items count="17">
        <item m="1" x="11"/>
        <item m="1" x="8"/>
        <item m="1" x="13"/>
        <item m="1" x="15"/>
        <item m="1" x="10"/>
        <item m="1" x="12"/>
        <item m="1" x="9"/>
        <item m="1" x="14"/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3">
        <item x="1"/>
        <item x="0"/>
        <item t="default"/>
      </items>
    </pivotField>
    <pivotField showAll="0"/>
    <pivotField showAll="0"/>
    <pivotField axis="axisRow" showAll="0" sortType="ascending">
      <items count="39">
        <item m="1" x="33"/>
        <item m="1" x="34"/>
        <item m="1" x="35"/>
        <item m="1" x="7"/>
        <item m="1" x="8"/>
        <item m="1" x="9"/>
        <item m="1" x="10"/>
        <item m="1" x="11"/>
        <item m="1" x="36"/>
        <item m="1" x="37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x="5"/>
        <item x="6"/>
        <item x="0"/>
        <item x="1"/>
        <item x="2"/>
        <item x="3"/>
        <item x="4"/>
        <item t="default"/>
      </items>
    </pivotField>
    <pivotField showAll="0">
      <items count="1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9"/>
  </rowFields>
  <rowItems count="8"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5"/>
  </colFields>
  <colItems count="6">
    <i>
      <x v="10"/>
    </i>
    <i>
      <x v="12"/>
    </i>
    <i>
      <x v="11"/>
    </i>
    <i>
      <x v="9"/>
    </i>
    <i>
      <x v="15"/>
    </i>
    <i>
      <x v="14"/>
    </i>
  </colItems>
  <pageFields count="1">
    <pageField fld="6" item="0" hier="-1"/>
  </pageFields>
  <dataFields count="1">
    <dataField name="Suma de Debit" fld="2" baseField="0" baseItem="0"/>
  </dataFields>
  <formats count="1">
    <format dxfId="17">
      <pivotArea outline="0" collapsedLevelsAreSubtotals="1" fieldPosition="0"/>
    </format>
  </formats>
  <chartFormats count="12">
    <chartFormat chart="1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3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3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3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13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13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13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13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13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A91B-A081-4712-B23D-30E3415EA4DC}" name="TablaDinámica3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fieldListSortAscending="1">
  <location ref="J4:K10" firstHeaderRow="1" firstDataRow="1" firstDataCol="1" rowPageCount="1" colPageCount="1"/>
  <pivotFields count="11">
    <pivotField numFmtId="14" showAll="0"/>
    <pivotField showAll="0"/>
    <pivotField dataField="1" showAll="0"/>
    <pivotField showAll="0"/>
    <pivotField axis="axisRow" showAll="0" measureFilter="1">
      <items count="19">
        <item x="3"/>
        <item x="7"/>
        <item x="1"/>
        <item x="0"/>
        <item x="16"/>
        <item x="14"/>
        <item x="6"/>
        <item x="15"/>
        <item x="17"/>
        <item x="5"/>
        <item x="13"/>
        <item x="4"/>
        <item x="12"/>
        <item x="2"/>
        <item x="8"/>
        <item x="9"/>
        <item x="11"/>
        <item x="10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4"/>
  </rowFields>
  <rowItems count="6">
    <i>
      <x/>
    </i>
    <i>
      <x v="1"/>
    </i>
    <i>
      <x v="8"/>
    </i>
    <i>
      <x v="11"/>
    </i>
    <i>
      <x v="13"/>
    </i>
    <i t="grand">
      <x/>
    </i>
  </rowItems>
  <colItems count="1">
    <i/>
  </colItems>
  <pageFields count="1">
    <pageField fld="6" item="0" hier="-1"/>
  </pageFields>
  <dataFields count="1">
    <dataField name="Suma de Debit" fld="2" baseField="0" baseItem="0" numFmtId="165"/>
  </dataFields>
  <formats count="1">
    <format dxfId="16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1FD7B-7503-4FAE-B3CB-023DC59F1734}" name="TablaDinámica9" cacheId="1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6" fieldListSortAscending="1">
  <location ref="AK4:AL15" firstHeaderRow="1" firstDataRow="1" firstDataCol="1"/>
  <pivotFields count="11"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21"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sortType="ascending"/>
    <pivotField showAll="0"/>
  </pivotFields>
  <rowFields count="1">
    <field x="8"/>
  </rowFields>
  <rowItems count="11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a de Amount" fld="7" baseField="0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3DA23-3BB4-4343-A89F-7E19CF2D847A}" name="TablaDinámica8" cacheId="1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4" fieldListSortAscending="1">
  <location ref="AG4:AH15" firstHeaderRow="1" firstDataRow="1" firstDataCol="1"/>
  <pivotFields count="11">
    <pivotField numFmtId="14" showAll="0"/>
    <pivotField showAll="0"/>
    <pivotField dataField="1" showAll="0"/>
    <pivotField showAll="0"/>
    <pivotField showAll="0"/>
    <pivotField showAll="0">
      <items count="17">
        <item x="6"/>
        <item m="1" x="14"/>
        <item m="1" x="9"/>
        <item m="1" x="12"/>
        <item x="2"/>
        <item m="1" x="10"/>
        <item m="1" x="15"/>
        <item x="7"/>
        <item x="4"/>
        <item x="5"/>
        <item m="1" x="13"/>
        <item x="0"/>
        <item m="1" x="8"/>
        <item x="1"/>
        <item m="1" x="11"/>
        <item x="3"/>
        <item t="default"/>
      </items>
    </pivotField>
    <pivotField showAll="0"/>
    <pivotField showAll="0"/>
    <pivotField axis="axisRow" showAll="0">
      <items count="21"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sortType="ascending"/>
    <pivotField showAll="0"/>
  </pivotFields>
  <rowFields count="1">
    <field x="8"/>
  </rowFields>
  <rowItems count="11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a de Debit" fld="2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7DADE-A586-4DE9-A178-32B9FF1BD781}" name="TablaDinámica1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277" firstHeaderRow="1" firstDataRow="1" firstDataCol="1"/>
  <pivotFields count="11">
    <pivotField name="Fecha" axis="axisRow" showAll="0">
      <items count="545"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3"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9B2B7F-6F75-46A9-B379-EAC71848024E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 fieldListSortAscending="1">
  <location ref="G4:H13" firstHeaderRow="1" firstDataRow="1" firstDataCol="1"/>
  <pivotFields count="11">
    <pivotField compact="0" numFmtId="14" showAll="0"/>
    <pivotField compact="0" showAll="0"/>
    <pivotField compact="0" showAll="0"/>
    <pivotField compact="0" showAll="0"/>
    <pivotField compact="0" showAll="0"/>
    <pivotField axis="axisRow" compact="0" showAll="0" sortType="descending">
      <items count="17">
        <item m="1" x="11"/>
        <item m="1" x="8"/>
        <item m="1" x="13"/>
        <item m="1" x="15"/>
        <item m="1" x="10"/>
        <item m="1" x="12"/>
        <item m="1" x="9"/>
        <item m="1" x="14"/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howAll="0"/>
    <pivotField dataField="1" compact="0" showAll="0"/>
    <pivotField compact="0" showAll="0"/>
    <pivotField compact="0" showAll="0"/>
    <pivotField compact="0" showAll="0"/>
  </pivotFields>
  <rowFields count="1">
    <field x="5"/>
  </rowFields>
  <rowItems count="9">
    <i>
      <x v="8"/>
    </i>
    <i>
      <x v="13"/>
    </i>
    <i>
      <x v="15"/>
    </i>
    <i>
      <x v="14"/>
    </i>
    <i>
      <x v="9"/>
    </i>
    <i>
      <x v="11"/>
    </i>
    <i>
      <x v="12"/>
    </i>
    <i>
      <x v="10"/>
    </i>
    <i t="grand">
      <x/>
    </i>
  </rowItems>
  <colItems count="1">
    <i/>
  </colItems>
  <dataFields count="1">
    <dataField name="Suma de Amount" fld="7" baseField="0" baseItem="0" numFmtId="164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0D482-B646-4482-A65C-25230366047B}" name="TablaDinámica16" cacheId="1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4" fieldListSortAscending="1">
  <location ref="AS4:AS5" firstHeaderRow="1" firstDataRow="1" firstDataCol="1"/>
  <pivotFields count="11"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ascending"/>
    <pivotField axis="axisRow" showAll="0">
      <items count="1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0"/>
  </rowFields>
  <rowItems count="1">
    <i>
      <x v="4"/>
    </i>
  </rowItems>
  <colItems count="1">
    <i/>
  </colItem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umeroMes" xr10:uid="{B40294B6-9A75-40B8-BB2B-FB33F0410A82}" sourceName="NumeroMes">
  <pivotTables>
    <pivotTable tabId="3" name="TablaDinámica3"/>
    <pivotTable tabId="3" name="TablaDinámica4"/>
    <pivotTable tabId="3" name="TablaDinámica16"/>
    <pivotTable tabId="3" name="TablaDinámica7"/>
    <pivotTable tabId="3" name="TablaDinámica6"/>
  </pivotTables>
  <data>
    <tabular pivotCacheId="30531964">
      <items count="10">
        <i x="0"/>
        <i x="1"/>
        <i x="2"/>
        <i x="3"/>
        <i x="4" s="1"/>
        <i x="5"/>
        <i x="6"/>
        <i x="7"/>
        <i x="8"/>
        <i x="9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49A58C9B-DC91-41BC-ADC2-DF65F8706633}" sourceName="Category">
  <pivotTables>
    <pivotTable tabId="3" name="TablaDinámica8"/>
  </pivotTables>
  <data>
    <tabular pivotCacheId="30531964">
      <items count="16">
        <i x="6" s="1"/>
        <i x="2" s="1"/>
        <i x="7" s="1"/>
        <i x="4" s="1"/>
        <i x="1" s="1"/>
        <i x="3" s="1"/>
        <i x="14" s="1" nd="1"/>
        <i x="9" s="1" nd="1"/>
        <i x="12" s="1" nd="1"/>
        <i x="10" s="1" nd="1"/>
        <i x="15" s="1" nd="1"/>
        <i x="5" s="1" nd="1"/>
        <i x="13" s="1" nd="1"/>
        <i x="0" s="1" nd="1"/>
        <i x="8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umeroMes" xr10:uid="{26F6D766-80CB-4778-8653-D63A5957CBD3}" cache="SegmentaciónDeDatos_NumeroMes" caption="NumeroMes" columnCount="3" showCaption="0" style="SlicerStyleLight1 2" rowHeight="257175"/>
  <slicer name="Category" xr10:uid="{CE5014E1-AD47-401C-B593-87796EF26BC8}" cache="SegmentaciónDeDatos_Category" caption="Category" columnCount="2" showCaption="0" style="SlicerStyleLight1 2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405EE3-FD70-429A-8820-F213F422EE5B}" name="Tabla1" displayName="Tabla1" ref="A1:K487" totalsRowShown="0">
  <autoFilter ref="A1:K487" xr:uid="{FD405EE3-FD70-429A-8820-F213F422EE5B}"/>
  <tableColumns count="11">
    <tableColumn id="1" xr3:uid="{EFAFCE32-C3D6-46D4-B9CB-364B870F4F91}" name="Date" dataDxfId="36"/>
    <tableColumn id="2" xr3:uid="{8E64514A-3BB1-4DA1-96ED-1B4592B323BF}" name="Description"/>
    <tableColumn id="3" xr3:uid="{02DF1848-07A4-4677-AA52-0442CD897834}" name="Debit"/>
    <tableColumn id="4" xr3:uid="{50F26586-6142-4D77-A139-20658A3086B5}" name="Credit"/>
    <tableColumn id="5" xr3:uid="{91AB6FD5-92AB-49CD-A4BC-1ADC70220864}" name="Sub-category"/>
    <tableColumn id="6" xr3:uid="{25C01226-BD56-43A9-9D5A-67252B01244B}" name="Category"/>
    <tableColumn id="7" xr3:uid="{AC21F58E-3CD1-46A3-A298-2FFDCBA9797A}" name="Category Type"/>
    <tableColumn id="8" xr3:uid="{049E443E-B3D3-4C8D-8F11-3DF46F4003F3}" name="Amount" dataDxfId="35">
      <calculatedColumnFormula>Tabla1[[#This Row],[Credit]]-Tabla1[[#This Row],[Debit]]</calculatedColumnFormula>
    </tableColumn>
    <tableColumn id="9" xr3:uid="{7F57FDA3-6DD2-44F0-AD50-CE3C4C467F91}" name="Mes" dataDxfId="34">
      <calculatedColumnFormula>TEXT(Tabla1[[#This Row],[Date]],"mmmm")</calculatedColumnFormula>
    </tableColumn>
    <tableColumn id="10" xr3:uid="{4F482D42-6842-4140-B34A-7BF9AD62C518}" name="Dia" dataDxfId="33">
      <calculatedColumnFormula>TEXT(DAY(Tabla1[[#This Row],[Date]]),"dddd")</calculatedColumnFormula>
    </tableColumn>
    <tableColumn id="11" xr3:uid="{A195B902-61FE-423D-BD06-B1A52FDCB16F}" name="NumeroMes" dataDxfId="32">
      <calculatedColumnFormula>MONTH(Tabla1[[#This Row],[Date]])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691EF-7BC2-4354-BC4F-C9D0DF3F9021}">
  <sheetPr codeName="Hoja1"/>
  <dimension ref="A1:K487"/>
  <sheetViews>
    <sheetView workbookViewId="0">
      <selection activeCell="F2" sqref="F2"/>
    </sheetView>
  </sheetViews>
  <sheetFormatPr baseColWidth="10" defaultRowHeight="15" x14ac:dyDescent="0.25"/>
  <cols>
    <col min="2" max="2" width="13.7109375" customWidth="1"/>
    <col min="5" max="5" width="15" customWidth="1"/>
    <col min="7" max="7" width="16" customWidth="1"/>
    <col min="9" max="9" width="11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54</v>
      </c>
      <c r="I1" t="s">
        <v>58</v>
      </c>
      <c r="J1" t="s">
        <v>59</v>
      </c>
      <c r="K1" t="s">
        <v>71</v>
      </c>
    </row>
    <row r="2" spans="1:11" x14ac:dyDescent="0.25">
      <c r="A2" s="5">
        <v>45295</v>
      </c>
      <c r="B2" t="s">
        <v>7</v>
      </c>
      <c r="D2">
        <v>5000</v>
      </c>
      <c r="E2" t="s">
        <v>8</v>
      </c>
      <c r="F2" t="s">
        <v>90</v>
      </c>
      <c r="G2" t="s">
        <v>93</v>
      </c>
      <c r="H2">
        <f>Tabla1[[#This Row],[Credit]]-Tabla1[[#This Row],[Debit]]</f>
        <v>5000</v>
      </c>
      <c r="I2" t="str">
        <f>TEXT(Tabla1[[#This Row],[Date]],"mmmm")</f>
        <v>enero</v>
      </c>
      <c r="J2" t="str">
        <f>TEXT(DAY(Tabla1[[#This Row],[Date]]),"dddd")</f>
        <v>miércoles</v>
      </c>
      <c r="K2">
        <f>MONTH(Tabla1[[#This Row],[Date]])</f>
        <v>1</v>
      </c>
    </row>
    <row r="3" spans="1:11" x14ac:dyDescent="0.25">
      <c r="A3" s="5">
        <v>45295</v>
      </c>
      <c r="B3" t="s">
        <v>10</v>
      </c>
      <c r="C3">
        <v>5</v>
      </c>
      <c r="E3" t="s">
        <v>11</v>
      </c>
      <c r="F3" t="s">
        <v>86</v>
      </c>
      <c r="G3" t="s">
        <v>70</v>
      </c>
      <c r="H3">
        <f>Tabla1[[#This Row],[Credit]]-Tabla1[[#This Row],[Debit]]</f>
        <v>-5</v>
      </c>
      <c r="I3" t="str">
        <f>TEXT(Tabla1[[#This Row],[Date]],"mmmm")</f>
        <v>enero</v>
      </c>
      <c r="J3" t="str">
        <f>TEXT(DAY(Tabla1[[#This Row],[Date]]),"dddd")</f>
        <v>miércoles</v>
      </c>
      <c r="K3">
        <f>MONTH(Tabla1[[#This Row],[Date]])</f>
        <v>1</v>
      </c>
    </row>
    <row r="4" spans="1:11" x14ac:dyDescent="0.25">
      <c r="A4" s="5">
        <v>45296</v>
      </c>
      <c r="B4" t="s">
        <v>13</v>
      </c>
      <c r="C4">
        <v>900</v>
      </c>
      <c r="E4" t="s">
        <v>94</v>
      </c>
      <c r="F4" t="s">
        <v>87</v>
      </c>
      <c r="G4" t="s">
        <v>70</v>
      </c>
      <c r="H4">
        <f>Tabla1[[#This Row],[Credit]]-Tabla1[[#This Row],[Debit]]</f>
        <v>-900</v>
      </c>
      <c r="I4" t="str">
        <f>TEXT(Tabla1[[#This Row],[Date]],"mmmm")</f>
        <v>enero</v>
      </c>
      <c r="J4" t="str">
        <f>TEXT(DAY(Tabla1[[#This Row],[Date]]),"dddd")</f>
        <v>jueves</v>
      </c>
      <c r="K4">
        <f>MONTH(Tabla1[[#This Row],[Date]])</f>
        <v>1</v>
      </c>
    </row>
    <row r="5" spans="1:11" x14ac:dyDescent="0.25">
      <c r="A5" s="5">
        <v>45296</v>
      </c>
      <c r="B5" t="s">
        <v>15</v>
      </c>
      <c r="C5">
        <v>150</v>
      </c>
      <c r="E5" t="s">
        <v>98</v>
      </c>
      <c r="F5" t="s">
        <v>89</v>
      </c>
      <c r="G5" t="s">
        <v>70</v>
      </c>
      <c r="H5">
        <f>Tabla1[[#This Row],[Credit]]-Tabla1[[#This Row],[Debit]]</f>
        <v>-150</v>
      </c>
      <c r="I5" t="str">
        <f>TEXT(Tabla1[[#This Row],[Date]],"mmmm")</f>
        <v>enero</v>
      </c>
      <c r="J5" t="str">
        <f>TEXT(DAY(Tabla1[[#This Row],[Date]]),"dddd")</f>
        <v>jueves</v>
      </c>
      <c r="K5">
        <f>MONTH(Tabla1[[#This Row],[Date]])</f>
        <v>1</v>
      </c>
    </row>
    <row r="6" spans="1:11" x14ac:dyDescent="0.25">
      <c r="A6" s="5">
        <v>45296</v>
      </c>
      <c r="B6" t="s">
        <v>10</v>
      </c>
      <c r="C6">
        <v>5</v>
      </c>
      <c r="E6" t="s">
        <v>11</v>
      </c>
      <c r="F6" t="s">
        <v>86</v>
      </c>
      <c r="G6" t="s">
        <v>70</v>
      </c>
      <c r="H6">
        <f>Tabla1[[#This Row],[Credit]]-Tabla1[[#This Row],[Debit]]</f>
        <v>-5</v>
      </c>
      <c r="I6" t="str">
        <f>TEXT(Tabla1[[#This Row],[Date]],"mmmm")</f>
        <v>enero</v>
      </c>
      <c r="J6" t="str">
        <f>TEXT(DAY(Tabla1[[#This Row],[Date]]),"dddd")</f>
        <v>jueves</v>
      </c>
      <c r="K6">
        <f>MONTH(Tabla1[[#This Row],[Date]])</f>
        <v>1</v>
      </c>
    </row>
    <row r="7" spans="1:11" x14ac:dyDescent="0.25">
      <c r="A7" s="5">
        <v>45297</v>
      </c>
      <c r="B7" t="s">
        <v>10</v>
      </c>
      <c r="C7">
        <v>5</v>
      </c>
      <c r="E7" t="s">
        <v>11</v>
      </c>
      <c r="F7" t="s">
        <v>86</v>
      </c>
      <c r="G7" t="s">
        <v>70</v>
      </c>
      <c r="H7">
        <f>Tabla1[[#This Row],[Credit]]-Tabla1[[#This Row],[Debit]]</f>
        <v>-5</v>
      </c>
      <c r="I7" t="str">
        <f>TEXT(Tabla1[[#This Row],[Date]],"mmmm")</f>
        <v>enero</v>
      </c>
      <c r="J7" t="str">
        <f>TEXT(DAY(Tabla1[[#This Row],[Date]]),"dddd")</f>
        <v>viernes</v>
      </c>
      <c r="K7">
        <f>MONTH(Tabla1[[#This Row],[Date]])</f>
        <v>1</v>
      </c>
    </row>
    <row r="8" spans="1:11" x14ac:dyDescent="0.25">
      <c r="A8" s="5">
        <v>45298</v>
      </c>
      <c r="B8" t="s">
        <v>10</v>
      </c>
      <c r="C8">
        <v>5</v>
      </c>
      <c r="E8" t="s">
        <v>11</v>
      </c>
      <c r="F8" t="s">
        <v>86</v>
      </c>
      <c r="G8" t="s">
        <v>70</v>
      </c>
      <c r="H8">
        <f>Tabla1[[#This Row],[Credit]]-Tabla1[[#This Row],[Debit]]</f>
        <v>-5</v>
      </c>
      <c r="I8" t="str">
        <f>TEXT(Tabla1[[#This Row],[Date]],"mmmm")</f>
        <v>enero</v>
      </c>
      <c r="J8" t="str">
        <f>TEXT(DAY(Tabla1[[#This Row],[Date]]),"dddd")</f>
        <v>sábado</v>
      </c>
      <c r="K8">
        <f>MONTH(Tabla1[[#This Row],[Date]])</f>
        <v>1</v>
      </c>
    </row>
    <row r="9" spans="1:11" x14ac:dyDescent="0.25">
      <c r="A9" s="5">
        <v>45299</v>
      </c>
      <c r="B9" t="s">
        <v>10</v>
      </c>
      <c r="C9">
        <v>5</v>
      </c>
      <c r="E9" t="s">
        <v>11</v>
      </c>
      <c r="F9" t="s">
        <v>86</v>
      </c>
      <c r="G9" t="s">
        <v>70</v>
      </c>
      <c r="H9">
        <f>Tabla1[[#This Row],[Credit]]-Tabla1[[#This Row],[Debit]]</f>
        <v>-5</v>
      </c>
      <c r="I9" t="str">
        <f>TEXT(Tabla1[[#This Row],[Date]],"mmmm")</f>
        <v>enero</v>
      </c>
      <c r="J9" t="str">
        <f>TEXT(DAY(Tabla1[[#This Row],[Date]]),"dddd")</f>
        <v>domingo</v>
      </c>
      <c r="K9">
        <f>MONTH(Tabla1[[#This Row],[Date]])</f>
        <v>1</v>
      </c>
    </row>
    <row r="10" spans="1:11" x14ac:dyDescent="0.25">
      <c r="A10" s="5">
        <v>45299</v>
      </c>
      <c r="B10" t="s">
        <v>17</v>
      </c>
      <c r="C10">
        <v>155</v>
      </c>
      <c r="E10" t="s">
        <v>95</v>
      </c>
      <c r="F10" t="s">
        <v>87</v>
      </c>
      <c r="G10" t="s">
        <v>70</v>
      </c>
      <c r="H10">
        <f>Tabla1[[#This Row],[Credit]]-Tabla1[[#This Row],[Debit]]</f>
        <v>-155</v>
      </c>
      <c r="I10" t="str">
        <f>TEXT(Tabla1[[#This Row],[Date]],"mmmm")</f>
        <v>enero</v>
      </c>
      <c r="J10" t="str">
        <f>TEXT(DAY(Tabla1[[#This Row],[Date]]),"dddd")</f>
        <v>domingo</v>
      </c>
      <c r="K10">
        <f>MONTH(Tabla1[[#This Row],[Date]])</f>
        <v>1</v>
      </c>
    </row>
    <row r="11" spans="1:11" x14ac:dyDescent="0.25">
      <c r="A11" s="5">
        <v>45302</v>
      </c>
      <c r="B11" t="s">
        <v>19</v>
      </c>
      <c r="C11">
        <v>50</v>
      </c>
      <c r="E11" t="s">
        <v>20</v>
      </c>
      <c r="F11" t="s">
        <v>87</v>
      </c>
      <c r="G11" t="s">
        <v>70</v>
      </c>
      <c r="H11">
        <f>Tabla1[[#This Row],[Credit]]-Tabla1[[#This Row],[Debit]]</f>
        <v>-50</v>
      </c>
      <c r="I11" t="str">
        <f>TEXT(Tabla1[[#This Row],[Date]],"mmmm")</f>
        <v>enero</v>
      </c>
      <c r="J11" t="str">
        <f>TEXT(DAY(Tabla1[[#This Row],[Date]]),"dddd")</f>
        <v>miércoles</v>
      </c>
      <c r="K11">
        <f>MONTH(Tabla1[[#This Row],[Date]])</f>
        <v>1</v>
      </c>
    </row>
    <row r="12" spans="1:11" x14ac:dyDescent="0.25">
      <c r="A12" s="5">
        <v>45302</v>
      </c>
      <c r="B12" t="s">
        <v>10</v>
      </c>
      <c r="C12">
        <v>5</v>
      </c>
      <c r="E12" t="s">
        <v>11</v>
      </c>
      <c r="F12" t="s">
        <v>86</v>
      </c>
      <c r="G12" t="s">
        <v>70</v>
      </c>
      <c r="H12">
        <f>Tabla1[[#This Row],[Credit]]-Tabla1[[#This Row],[Debit]]</f>
        <v>-5</v>
      </c>
      <c r="I12" t="str">
        <f>TEXT(Tabla1[[#This Row],[Date]],"mmmm")</f>
        <v>enero</v>
      </c>
      <c r="J12" t="str">
        <f>TEXT(DAY(Tabla1[[#This Row],[Date]]),"dddd")</f>
        <v>miércoles</v>
      </c>
      <c r="K12">
        <f>MONTH(Tabla1[[#This Row],[Date]])</f>
        <v>1</v>
      </c>
    </row>
    <row r="13" spans="1:11" x14ac:dyDescent="0.25">
      <c r="A13" s="5">
        <v>45303</v>
      </c>
      <c r="B13" t="s">
        <v>10</v>
      </c>
      <c r="C13">
        <v>5</v>
      </c>
      <c r="E13" t="s">
        <v>11</v>
      </c>
      <c r="F13" t="s">
        <v>86</v>
      </c>
      <c r="G13" t="s">
        <v>70</v>
      </c>
      <c r="H13">
        <f>Tabla1[[#This Row],[Credit]]-Tabla1[[#This Row],[Debit]]</f>
        <v>-5</v>
      </c>
      <c r="I13" t="str">
        <f>TEXT(Tabla1[[#This Row],[Date]],"mmmm")</f>
        <v>enero</v>
      </c>
      <c r="J13" t="str">
        <f>TEXT(DAY(Tabla1[[#This Row],[Date]]),"dddd")</f>
        <v>jueves</v>
      </c>
      <c r="K13">
        <f>MONTH(Tabla1[[#This Row],[Date]])</f>
        <v>1</v>
      </c>
    </row>
    <row r="14" spans="1:11" x14ac:dyDescent="0.25">
      <c r="A14" s="5">
        <v>45304</v>
      </c>
      <c r="B14" t="s">
        <v>21</v>
      </c>
      <c r="C14">
        <v>77</v>
      </c>
      <c r="E14" t="s">
        <v>11</v>
      </c>
      <c r="F14" t="s">
        <v>86</v>
      </c>
      <c r="G14" t="s">
        <v>70</v>
      </c>
      <c r="H14">
        <f>Tabla1[[#This Row],[Credit]]-Tabla1[[#This Row],[Debit]]</f>
        <v>-77</v>
      </c>
      <c r="I14" t="str">
        <f>TEXT(Tabla1[[#This Row],[Date]],"mmmm")</f>
        <v>enero</v>
      </c>
      <c r="J14" t="str">
        <f>TEXT(DAY(Tabla1[[#This Row],[Date]]),"dddd")</f>
        <v>viernes</v>
      </c>
      <c r="K14">
        <f>MONTH(Tabla1[[#This Row],[Date]])</f>
        <v>1</v>
      </c>
    </row>
    <row r="15" spans="1:11" x14ac:dyDescent="0.25">
      <c r="A15" s="5">
        <v>45304</v>
      </c>
      <c r="B15" t="s">
        <v>10</v>
      </c>
      <c r="C15">
        <v>5</v>
      </c>
      <c r="E15" t="s">
        <v>11</v>
      </c>
      <c r="F15" t="s">
        <v>86</v>
      </c>
      <c r="G15" t="s">
        <v>70</v>
      </c>
      <c r="H15">
        <f>Tabla1[[#This Row],[Credit]]-Tabla1[[#This Row],[Debit]]</f>
        <v>-5</v>
      </c>
      <c r="I15" t="str">
        <f>TEXT(Tabla1[[#This Row],[Date]],"mmmm")</f>
        <v>enero</v>
      </c>
      <c r="J15" t="str">
        <f>TEXT(DAY(Tabla1[[#This Row],[Date]]),"dddd")</f>
        <v>viernes</v>
      </c>
      <c r="K15">
        <f>MONTH(Tabla1[[#This Row],[Date]])</f>
        <v>1</v>
      </c>
    </row>
    <row r="16" spans="1:11" x14ac:dyDescent="0.25">
      <c r="A16" s="5">
        <v>45305</v>
      </c>
      <c r="B16" t="s">
        <v>10</v>
      </c>
      <c r="C16">
        <v>5</v>
      </c>
      <c r="E16" t="s">
        <v>11</v>
      </c>
      <c r="F16" t="s">
        <v>86</v>
      </c>
      <c r="G16" t="s">
        <v>70</v>
      </c>
      <c r="H16">
        <f>Tabla1[[#This Row],[Credit]]-Tabla1[[#This Row],[Debit]]</f>
        <v>-5</v>
      </c>
      <c r="I16" t="str">
        <f>TEXT(Tabla1[[#This Row],[Date]],"mmmm")</f>
        <v>enero</v>
      </c>
      <c r="J16" t="str">
        <f>TEXT(DAY(Tabla1[[#This Row],[Date]]),"dddd")</f>
        <v>sábado</v>
      </c>
      <c r="K16">
        <f>MONTH(Tabla1[[#This Row],[Date]])</f>
        <v>1</v>
      </c>
    </row>
    <row r="17" spans="1:11" x14ac:dyDescent="0.25">
      <c r="A17" s="5">
        <v>45306</v>
      </c>
      <c r="B17" t="s">
        <v>17</v>
      </c>
      <c r="C17">
        <v>135</v>
      </c>
      <c r="E17" t="s">
        <v>95</v>
      </c>
      <c r="F17" t="s">
        <v>87</v>
      </c>
      <c r="G17" t="s">
        <v>70</v>
      </c>
      <c r="H17">
        <f>Tabla1[[#This Row],[Credit]]-Tabla1[[#This Row],[Debit]]</f>
        <v>-135</v>
      </c>
      <c r="I17" t="str">
        <f>TEXT(Tabla1[[#This Row],[Date]],"mmmm")</f>
        <v>enero</v>
      </c>
      <c r="J17" t="str">
        <f>TEXT(DAY(Tabla1[[#This Row],[Date]]),"dddd")</f>
        <v>domingo</v>
      </c>
      <c r="K17">
        <f>MONTH(Tabla1[[#This Row],[Date]])</f>
        <v>1</v>
      </c>
    </row>
    <row r="18" spans="1:11" x14ac:dyDescent="0.25">
      <c r="A18" s="5">
        <v>45306</v>
      </c>
      <c r="B18" t="s">
        <v>10</v>
      </c>
      <c r="C18">
        <v>5</v>
      </c>
      <c r="E18" t="s">
        <v>11</v>
      </c>
      <c r="F18" t="s">
        <v>86</v>
      </c>
      <c r="G18" t="s">
        <v>70</v>
      </c>
      <c r="H18">
        <f>Tabla1[[#This Row],[Credit]]-Tabla1[[#This Row],[Debit]]</f>
        <v>-5</v>
      </c>
      <c r="I18" t="str">
        <f>TEXT(Tabla1[[#This Row],[Date]],"mmmm")</f>
        <v>enero</v>
      </c>
      <c r="J18" t="str">
        <f>TEXT(DAY(Tabla1[[#This Row],[Date]]),"dddd")</f>
        <v>domingo</v>
      </c>
      <c r="K18">
        <f>MONTH(Tabla1[[#This Row],[Date]])</f>
        <v>1</v>
      </c>
    </row>
    <row r="19" spans="1:11" x14ac:dyDescent="0.25">
      <c r="A19" s="5">
        <v>45307</v>
      </c>
      <c r="B19" t="s">
        <v>10</v>
      </c>
      <c r="C19">
        <v>5</v>
      </c>
      <c r="E19" t="s">
        <v>11</v>
      </c>
      <c r="F19" t="s">
        <v>86</v>
      </c>
      <c r="G19" t="s">
        <v>70</v>
      </c>
      <c r="H19">
        <f>Tabla1[[#This Row],[Credit]]-Tabla1[[#This Row],[Debit]]</f>
        <v>-5</v>
      </c>
      <c r="I19" t="str">
        <f>TEXT(Tabla1[[#This Row],[Date]],"mmmm")</f>
        <v>enero</v>
      </c>
      <c r="J19" t="str">
        <f>TEXT(DAY(Tabla1[[#This Row],[Date]]),"dddd")</f>
        <v>lunes</v>
      </c>
      <c r="K19">
        <f>MONTH(Tabla1[[#This Row],[Date]])</f>
        <v>1</v>
      </c>
    </row>
    <row r="20" spans="1:11" x14ac:dyDescent="0.25">
      <c r="A20" s="5">
        <v>45307</v>
      </c>
      <c r="B20" t="s">
        <v>22</v>
      </c>
      <c r="C20">
        <v>40</v>
      </c>
      <c r="E20" t="s">
        <v>23</v>
      </c>
      <c r="F20" t="s">
        <v>91</v>
      </c>
      <c r="G20" t="s">
        <v>70</v>
      </c>
      <c r="H20">
        <f>Tabla1[[#This Row],[Credit]]-Tabla1[[#This Row],[Debit]]</f>
        <v>-40</v>
      </c>
      <c r="I20" t="str">
        <f>TEXT(Tabla1[[#This Row],[Date]],"mmmm")</f>
        <v>enero</v>
      </c>
      <c r="J20" t="str">
        <f>TEXT(DAY(Tabla1[[#This Row],[Date]]),"dddd")</f>
        <v>lunes</v>
      </c>
      <c r="K20">
        <f>MONTH(Tabla1[[#This Row],[Date]])</f>
        <v>1</v>
      </c>
    </row>
    <row r="21" spans="1:11" x14ac:dyDescent="0.25">
      <c r="A21" s="5">
        <v>45307</v>
      </c>
      <c r="B21" t="s">
        <v>24</v>
      </c>
      <c r="C21">
        <v>98</v>
      </c>
      <c r="E21" t="s">
        <v>97</v>
      </c>
      <c r="F21" t="s">
        <v>91</v>
      </c>
      <c r="G21" t="s">
        <v>70</v>
      </c>
      <c r="H21">
        <f>Tabla1[[#This Row],[Credit]]-Tabla1[[#This Row],[Debit]]</f>
        <v>-98</v>
      </c>
      <c r="I21" t="str">
        <f>TEXT(Tabla1[[#This Row],[Date]],"mmmm")</f>
        <v>enero</v>
      </c>
      <c r="J21" t="str">
        <f>TEXT(DAY(Tabla1[[#This Row],[Date]]),"dddd")</f>
        <v>lunes</v>
      </c>
      <c r="K21">
        <f>MONTH(Tabla1[[#This Row],[Date]])</f>
        <v>1</v>
      </c>
    </row>
    <row r="22" spans="1:11" x14ac:dyDescent="0.25">
      <c r="A22" s="5">
        <v>45307</v>
      </c>
      <c r="B22" t="s">
        <v>26</v>
      </c>
      <c r="C22">
        <v>52</v>
      </c>
      <c r="E22" t="s">
        <v>27</v>
      </c>
      <c r="F22" t="s">
        <v>86</v>
      </c>
      <c r="G22" t="s">
        <v>70</v>
      </c>
      <c r="H22">
        <f>Tabla1[[#This Row],[Credit]]-Tabla1[[#This Row],[Debit]]</f>
        <v>-52</v>
      </c>
      <c r="I22" t="str">
        <f>TEXT(Tabla1[[#This Row],[Date]],"mmmm")</f>
        <v>enero</v>
      </c>
      <c r="J22" t="str">
        <f>TEXT(DAY(Tabla1[[#This Row],[Date]]),"dddd")</f>
        <v>lunes</v>
      </c>
      <c r="K22">
        <f>MONTH(Tabla1[[#This Row],[Date]])</f>
        <v>1</v>
      </c>
    </row>
    <row r="23" spans="1:11" x14ac:dyDescent="0.25">
      <c r="A23" s="5">
        <v>45308</v>
      </c>
      <c r="B23" t="s">
        <v>28</v>
      </c>
      <c r="C23">
        <v>28</v>
      </c>
      <c r="E23" t="s">
        <v>29</v>
      </c>
      <c r="F23" t="s">
        <v>89</v>
      </c>
      <c r="G23" t="s">
        <v>70</v>
      </c>
      <c r="H23">
        <f>Tabla1[[#This Row],[Credit]]-Tabla1[[#This Row],[Debit]]</f>
        <v>-28</v>
      </c>
      <c r="I23" t="str">
        <f>TEXT(Tabla1[[#This Row],[Date]],"mmmm")</f>
        <v>enero</v>
      </c>
      <c r="J23" t="str">
        <f>TEXT(DAY(Tabla1[[#This Row],[Date]]),"dddd")</f>
        <v>martes</v>
      </c>
      <c r="K23">
        <f>MONTH(Tabla1[[#This Row],[Date]])</f>
        <v>1</v>
      </c>
    </row>
    <row r="24" spans="1:11" x14ac:dyDescent="0.25">
      <c r="A24" s="5">
        <v>45309</v>
      </c>
      <c r="B24" t="s">
        <v>30</v>
      </c>
      <c r="D24">
        <v>4500</v>
      </c>
      <c r="E24" t="s">
        <v>31</v>
      </c>
      <c r="F24" t="s">
        <v>92</v>
      </c>
      <c r="G24" t="s">
        <v>93</v>
      </c>
      <c r="H24">
        <f>Tabla1[[#This Row],[Credit]]-Tabla1[[#This Row],[Debit]]</f>
        <v>4500</v>
      </c>
      <c r="I24" t="str">
        <f>TEXT(Tabla1[[#This Row],[Date]],"mmmm")</f>
        <v>enero</v>
      </c>
      <c r="J24" t="str">
        <f>TEXT(DAY(Tabla1[[#This Row],[Date]]),"dddd")</f>
        <v>miércoles</v>
      </c>
      <c r="K24">
        <f>MONTH(Tabla1[[#This Row],[Date]])</f>
        <v>1</v>
      </c>
    </row>
    <row r="25" spans="1:11" x14ac:dyDescent="0.25">
      <c r="A25" s="5">
        <v>45309</v>
      </c>
      <c r="B25" t="s">
        <v>10</v>
      </c>
      <c r="C25">
        <v>5</v>
      </c>
      <c r="E25" t="s">
        <v>11</v>
      </c>
      <c r="F25" t="s">
        <v>86</v>
      </c>
      <c r="G25" t="s">
        <v>70</v>
      </c>
      <c r="H25">
        <f>Tabla1[[#This Row],[Credit]]-Tabla1[[#This Row],[Debit]]</f>
        <v>-5</v>
      </c>
      <c r="I25" t="str">
        <f>TEXT(Tabla1[[#This Row],[Date]],"mmmm")</f>
        <v>enero</v>
      </c>
      <c r="J25" t="str">
        <f>TEXT(DAY(Tabla1[[#This Row],[Date]]),"dddd")</f>
        <v>miércoles</v>
      </c>
      <c r="K25">
        <f>MONTH(Tabla1[[#This Row],[Date]])</f>
        <v>1</v>
      </c>
    </row>
    <row r="26" spans="1:11" x14ac:dyDescent="0.25">
      <c r="A26" s="5">
        <v>45310</v>
      </c>
      <c r="B26" t="s">
        <v>10</v>
      </c>
      <c r="C26">
        <v>5</v>
      </c>
      <c r="E26" t="s">
        <v>11</v>
      </c>
      <c r="F26" t="s">
        <v>86</v>
      </c>
      <c r="G26" t="s">
        <v>70</v>
      </c>
      <c r="H26">
        <f>Tabla1[[#This Row],[Credit]]-Tabla1[[#This Row],[Debit]]</f>
        <v>-5</v>
      </c>
      <c r="I26" t="str">
        <f>TEXT(Tabla1[[#This Row],[Date]],"mmmm")</f>
        <v>enero</v>
      </c>
      <c r="J26" t="str">
        <f>TEXT(DAY(Tabla1[[#This Row],[Date]]),"dddd")</f>
        <v>jueves</v>
      </c>
      <c r="K26">
        <f>MONTH(Tabla1[[#This Row],[Date]])</f>
        <v>1</v>
      </c>
    </row>
    <row r="27" spans="1:11" x14ac:dyDescent="0.25">
      <c r="A27" s="5">
        <v>45310</v>
      </c>
      <c r="B27" t="s">
        <v>30</v>
      </c>
      <c r="D27">
        <v>4500</v>
      </c>
      <c r="E27" t="s">
        <v>32</v>
      </c>
      <c r="F27" t="s">
        <v>92</v>
      </c>
      <c r="G27" t="s">
        <v>93</v>
      </c>
      <c r="H27">
        <f>Tabla1[[#This Row],[Credit]]-Tabla1[[#This Row],[Debit]]</f>
        <v>4500</v>
      </c>
      <c r="I27" t="str">
        <f>TEXT(Tabla1[[#This Row],[Date]],"mmmm")</f>
        <v>enero</v>
      </c>
      <c r="J27" t="str">
        <f>TEXT(DAY(Tabla1[[#This Row],[Date]]),"dddd")</f>
        <v>jueves</v>
      </c>
      <c r="K27">
        <f>MONTH(Tabla1[[#This Row],[Date]])</f>
        <v>1</v>
      </c>
    </row>
    <row r="28" spans="1:11" x14ac:dyDescent="0.25">
      <c r="A28" s="5">
        <v>45310</v>
      </c>
      <c r="B28" t="s">
        <v>33</v>
      </c>
      <c r="C28">
        <v>40</v>
      </c>
      <c r="E28" t="s">
        <v>33</v>
      </c>
      <c r="F28" t="s">
        <v>87</v>
      </c>
      <c r="G28" t="s">
        <v>70</v>
      </c>
      <c r="H28">
        <f>Tabla1[[#This Row],[Credit]]-Tabla1[[#This Row],[Debit]]</f>
        <v>-40</v>
      </c>
      <c r="I28" t="str">
        <f>TEXT(Tabla1[[#This Row],[Date]],"mmmm")</f>
        <v>enero</v>
      </c>
      <c r="J28" t="str">
        <f>TEXT(DAY(Tabla1[[#This Row],[Date]]),"dddd")</f>
        <v>jueves</v>
      </c>
      <c r="K28">
        <f>MONTH(Tabla1[[#This Row],[Date]])</f>
        <v>1</v>
      </c>
    </row>
    <row r="29" spans="1:11" x14ac:dyDescent="0.25">
      <c r="A29" s="5">
        <v>45311</v>
      </c>
      <c r="B29" t="s">
        <v>34</v>
      </c>
      <c r="C29">
        <v>45</v>
      </c>
      <c r="E29" t="s">
        <v>35</v>
      </c>
      <c r="F29" t="s">
        <v>91</v>
      </c>
      <c r="G29" t="s">
        <v>70</v>
      </c>
      <c r="H29">
        <f>Tabla1[[#This Row],[Credit]]-Tabla1[[#This Row],[Debit]]</f>
        <v>-45</v>
      </c>
      <c r="I29" t="str">
        <f>TEXT(Tabla1[[#This Row],[Date]],"mmmm")</f>
        <v>enero</v>
      </c>
      <c r="J29" t="str">
        <f>TEXT(DAY(Tabla1[[#This Row],[Date]]),"dddd")</f>
        <v>viernes</v>
      </c>
      <c r="K29">
        <f>MONTH(Tabla1[[#This Row],[Date]])</f>
        <v>1</v>
      </c>
    </row>
    <row r="30" spans="1:11" x14ac:dyDescent="0.25">
      <c r="A30" s="5">
        <v>45311</v>
      </c>
      <c r="B30" t="s">
        <v>36</v>
      </c>
      <c r="C30">
        <v>32</v>
      </c>
      <c r="E30" t="s">
        <v>23</v>
      </c>
      <c r="F30" t="s">
        <v>91</v>
      </c>
      <c r="G30" t="s">
        <v>70</v>
      </c>
      <c r="H30">
        <f>Tabla1[[#This Row],[Credit]]-Tabla1[[#This Row],[Debit]]</f>
        <v>-32</v>
      </c>
      <c r="I30" t="str">
        <f>TEXT(Tabla1[[#This Row],[Date]],"mmmm")</f>
        <v>enero</v>
      </c>
      <c r="J30" t="str">
        <f>TEXT(DAY(Tabla1[[#This Row],[Date]]),"dddd")</f>
        <v>viernes</v>
      </c>
      <c r="K30">
        <f>MONTH(Tabla1[[#This Row],[Date]])</f>
        <v>1</v>
      </c>
    </row>
    <row r="31" spans="1:11" x14ac:dyDescent="0.25">
      <c r="A31" s="5">
        <v>45311</v>
      </c>
      <c r="B31" t="s">
        <v>10</v>
      </c>
      <c r="C31">
        <v>5</v>
      </c>
      <c r="E31" t="s">
        <v>11</v>
      </c>
      <c r="F31" t="s">
        <v>86</v>
      </c>
      <c r="G31" t="s">
        <v>70</v>
      </c>
      <c r="H31">
        <f>Tabla1[[#This Row],[Credit]]-Tabla1[[#This Row],[Debit]]</f>
        <v>-5</v>
      </c>
      <c r="I31" t="str">
        <f>TEXT(Tabla1[[#This Row],[Date]],"mmmm")</f>
        <v>enero</v>
      </c>
      <c r="J31" t="str">
        <f>TEXT(DAY(Tabla1[[#This Row],[Date]]),"dddd")</f>
        <v>viernes</v>
      </c>
      <c r="K31">
        <f>MONTH(Tabla1[[#This Row],[Date]])</f>
        <v>1</v>
      </c>
    </row>
    <row r="32" spans="1:11" x14ac:dyDescent="0.25">
      <c r="A32" s="5">
        <v>45312</v>
      </c>
      <c r="B32" t="s">
        <v>10</v>
      </c>
      <c r="C32">
        <v>5</v>
      </c>
      <c r="E32" t="s">
        <v>11</v>
      </c>
      <c r="F32" t="s">
        <v>86</v>
      </c>
      <c r="G32" t="s">
        <v>70</v>
      </c>
      <c r="H32">
        <f>Tabla1[[#This Row],[Credit]]-Tabla1[[#This Row],[Debit]]</f>
        <v>-5</v>
      </c>
      <c r="I32" t="str">
        <f>TEXT(Tabla1[[#This Row],[Date]],"mmmm")</f>
        <v>enero</v>
      </c>
      <c r="J32" t="str">
        <f>TEXT(DAY(Tabla1[[#This Row],[Date]]),"dddd")</f>
        <v>sábado</v>
      </c>
      <c r="K32">
        <f>MONTH(Tabla1[[#This Row],[Date]])</f>
        <v>1</v>
      </c>
    </row>
    <row r="33" spans="1:11" x14ac:dyDescent="0.25">
      <c r="A33" s="5">
        <v>45313</v>
      </c>
      <c r="B33" t="s">
        <v>10</v>
      </c>
      <c r="C33">
        <v>5</v>
      </c>
      <c r="E33" t="s">
        <v>11</v>
      </c>
      <c r="F33" t="s">
        <v>86</v>
      </c>
      <c r="G33" t="s">
        <v>70</v>
      </c>
      <c r="H33">
        <f>Tabla1[[#This Row],[Credit]]-Tabla1[[#This Row],[Debit]]</f>
        <v>-5</v>
      </c>
      <c r="I33" t="str">
        <f>TEXT(Tabla1[[#This Row],[Date]],"mmmm")</f>
        <v>enero</v>
      </c>
      <c r="J33" t="str">
        <f>TEXT(DAY(Tabla1[[#This Row],[Date]]),"dddd")</f>
        <v>domingo</v>
      </c>
      <c r="K33">
        <f>MONTH(Tabla1[[#This Row],[Date]])</f>
        <v>1</v>
      </c>
    </row>
    <row r="34" spans="1:11" x14ac:dyDescent="0.25">
      <c r="A34" s="5">
        <v>45313</v>
      </c>
      <c r="B34" t="s">
        <v>17</v>
      </c>
      <c r="C34">
        <v>170</v>
      </c>
      <c r="E34" t="s">
        <v>95</v>
      </c>
      <c r="F34" t="s">
        <v>87</v>
      </c>
      <c r="G34" t="s">
        <v>70</v>
      </c>
      <c r="H34">
        <f>Tabla1[[#This Row],[Credit]]-Tabla1[[#This Row],[Debit]]</f>
        <v>-170</v>
      </c>
      <c r="I34" t="str">
        <f>TEXT(Tabla1[[#This Row],[Date]],"mmmm")</f>
        <v>enero</v>
      </c>
      <c r="J34" t="str">
        <f>TEXT(DAY(Tabla1[[#This Row],[Date]]),"dddd")</f>
        <v>domingo</v>
      </c>
      <c r="K34">
        <f>MONTH(Tabla1[[#This Row],[Date]])</f>
        <v>1</v>
      </c>
    </row>
    <row r="35" spans="1:11" x14ac:dyDescent="0.25">
      <c r="A35" s="5">
        <v>45314</v>
      </c>
      <c r="B35" t="s">
        <v>37</v>
      </c>
      <c r="C35">
        <v>37</v>
      </c>
      <c r="E35" t="s">
        <v>27</v>
      </c>
      <c r="F35" t="s">
        <v>86</v>
      </c>
      <c r="G35" t="s">
        <v>70</v>
      </c>
      <c r="H35">
        <f>Tabla1[[#This Row],[Credit]]-Tabla1[[#This Row],[Debit]]</f>
        <v>-37</v>
      </c>
      <c r="I35" t="str">
        <f>TEXT(Tabla1[[#This Row],[Date]],"mmmm")</f>
        <v>enero</v>
      </c>
      <c r="J35" t="str">
        <f>TEXT(DAY(Tabla1[[#This Row],[Date]]),"dddd")</f>
        <v>lunes</v>
      </c>
      <c r="K35">
        <f>MONTH(Tabla1[[#This Row],[Date]])</f>
        <v>1</v>
      </c>
    </row>
    <row r="36" spans="1:11" x14ac:dyDescent="0.25">
      <c r="A36" s="5">
        <v>45315</v>
      </c>
      <c r="B36" t="s">
        <v>38</v>
      </c>
      <c r="C36">
        <v>12</v>
      </c>
      <c r="E36" t="s">
        <v>27</v>
      </c>
      <c r="F36" t="s">
        <v>86</v>
      </c>
      <c r="G36" t="s">
        <v>70</v>
      </c>
      <c r="H36">
        <f>Tabla1[[#This Row],[Credit]]-Tabla1[[#This Row],[Debit]]</f>
        <v>-12</v>
      </c>
      <c r="I36" t="str">
        <f>TEXT(Tabla1[[#This Row],[Date]],"mmmm")</f>
        <v>enero</v>
      </c>
      <c r="J36" t="str">
        <f>TEXT(DAY(Tabla1[[#This Row],[Date]]),"dddd")</f>
        <v>martes</v>
      </c>
      <c r="K36">
        <f>MONTH(Tabla1[[#This Row],[Date]])</f>
        <v>1</v>
      </c>
    </row>
    <row r="37" spans="1:11" x14ac:dyDescent="0.25">
      <c r="A37" s="5">
        <v>45316</v>
      </c>
      <c r="B37" t="s">
        <v>39</v>
      </c>
      <c r="C37">
        <v>55</v>
      </c>
      <c r="E37" t="s">
        <v>40</v>
      </c>
      <c r="F37" t="s">
        <v>85</v>
      </c>
      <c r="G37" t="s">
        <v>70</v>
      </c>
      <c r="H37">
        <f>Tabla1[[#This Row],[Credit]]-Tabla1[[#This Row],[Debit]]</f>
        <v>-55</v>
      </c>
      <c r="I37" t="str">
        <f>TEXT(Tabla1[[#This Row],[Date]],"mmmm")</f>
        <v>enero</v>
      </c>
      <c r="J37" t="str">
        <f>TEXT(DAY(Tabla1[[#This Row],[Date]]),"dddd")</f>
        <v>miércoles</v>
      </c>
      <c r="K37">
        <f>MONTH(Tabla1[[#This Row],[Date]])</f>
        <v>1</v>
      </c>
    </row>
    <row r="38" spans="1:11" x14ac:dyDescent="0.25">
      <c r="A38" s="5">
        <v>45316</v>
      </c>
      <c r="B38" t="s">
        <v>21</v>
      </c>
      <c r="C38">
        <v>63</v>
      </c>
      <c r="E38" t="s">
        <v>96</v>
      </c>
      <c r="F38" t="s">
        <v>89</v>
      </c>
      <c r="G38" t="s">
        <v>70</v>
      </c>
      <c r="H38">
        <f>Tabla1[[#This Row],[Credit]]-Tabla1[[#This Row],[Debit]]</f>
        <v>-63</v>
      </c>
      <c r="I38" t="str">
        <f>TEXT(Tabla1[[#This Row],[Date]],"mmmm")</f>
        <v>enero</v>
      </c>
      <c r="J38" t="str">
        <f>TEXT(DAY(Tabla1[[#This Row],[Date]]),"dddd")</f>
        <v>miércoles</v>
      </c>
      <c r="K38">
        <f>MONTH(Tabla1[[#This Row],[Date]])</f>
        <v>1</v>
      </c>
    </row>
    <row r="39" spans="1:11" x14ac:dyDescent="0.25">
      <c r="A39" s="5">
        <v>45316</v>
      </c>
      <c r="B39" t="s">
        <v>10</v>
      </c>
      <c r="C39">
        <v>5</v>
      </c>
      <c r="E39" t="s">
        <v>11</v>
      </c>
      <c r="F39" t="s">
        <v>86</v>
      </c>
      <c r="G39" t="s">
        <v>70</v>
      </c>
      <c r="H39">
        <f>Tabla1[[#This Row],[Credit]]-Tabla1[[#This Row],[Debit]]</f>
        <v>-5</v>
      </c>
      <c r="I39" t="str">
        <f>TEXT(Tabla1[[#This Row],[Date]],"mmmm")</f>
        <v>enero</v>
      </c>
      <c r="J39" t="str">
        <f>TEXT(DAY(Tabla1[[#This Row],[Date]]),"dddd")</f>
        <v>miércoles</v>
      </c>
      <c r="K39">
        <f>MONTH(Tabla1[[#This Row],[Date]])</f>
        <v>1</v>
      </c>
    </row>
    <row r="40" spans="1:11" x14ac:dyDescent="0.25">
      <c r="A40" s="5">
        <v>45317</v>
      </c>
      <c r="B40" t="s">
        <v>10</v>
      </c>
      <c r="C40">
        <v>5</v>
      </c>
      <c r="E40" t="s">
        <v>11</v>
      </c>
      <c r="F40" t="s">
        <v>86</v>
      </c>
      <c r="G40" t="s">
        <v>70</v>
      </c>
      <c r="H40">
        <f>Tabla1[[#This Row],[Credit]]-Tabla1[[#This Row],[Debit]]</f>
        <v>-5</v>
      </c>
      <c r="I40" t="str">
        <f>TEXT(Tabla1[[#This Row],[Date]],"mmmm")</f>
        <v>enero</v>
      </c>
      <c r="J40" t="str">
        <f>TEXT(DAY(Tabla1[[#This Row],[Date]]),"dddd")</f>
        <v>jueves</v>
      </c>
      <c r="K40">
        <f>MONTH(Tabla1[[#This Row],[Date]])</f>
        <v>1</v>
      </c>
    </row>
    <row r="41" spans="1:11" x14ac:dyDescent="0.25">
      <c r="A41" s="5">
        <v>45318</v>
      </c>
      <c r="B41" t="s">
        <v>10</v>
      </c>
      <c r="C41">
        <v>5</v>
      </c>
      <c r="E41" t="s">
        <v>11</v>
      </c>
      <c r="F41" t="s">
        <v>86</v>
      </c>
      <c r="G41" t="s">
        <v>70</v>
      </c>
      <c r="H41">
        <f>Tabla1[[#This Row],[Credit]]-Tabla1[[#This Row],[Debit]]</f>
        <v>-5</v>
      </c>
      <c r="I41" t="str">
        <f>TEXT(Tabla1[[#This Row],[Date]],"mmmm")</f>
        <v>enero</v>
      </c>
      <c r="J41" t="str">
        <f>TEXT(DAY(Tabla1[[#This Row],[Date]]),"dddd")</f>
        <v>viernes</v>
      </c>
      <c r="K41">
        <f>MONTH(Tabla1[[#This Row],[Date]])</f>
        <v>1</v>
      </c>
    </row>
    <row r="42" spans="1:11" x14ac:dyDescent="0.25">
      <c r="A42" s="5">
        <v>45319</v>
      </c>
      <c r="B42" t="s">
        <v>10</v>
      </c>
      <c r="C42">
        <v>5</v>
      </c>
      <c r="E42" t="s">
        <v>11</v>
      </c>
      <c r="F42" t="s">
        <v>86</v>
      </c>
      <c r="G42" t="s">
        <v>70</v>
      </c>
      <c r="H42">
        <f>Tabla1[[#This Row],[Credit]]-Tabla1[[#This Row],[Debit]]</f>
        <v>-5</v>
      </c>
      <c r="I42" t="str">
        <f>TEXT(Tabla1[[#This Row],[Date]],"mmmm")</f>
        <v>enero</v>
      </c>
      <c r="J42" t="str">
        <f>TEXT(DAY(Tabla1[[#This Row],[Date]]),"dddd")</f>
        <v>sábado</v>
      </c>
      <c r="K42">
        <f>MONTH(Tabla1[[#This Row],[Date]])</f>
        <v>1</v>
      </c>
    </row>
    <row r="43" spans="1:11" x14ac:dyDescent="0.25">
      <c r="A43" s="5">
        <v>45320</v>
      </c>
      <c r="B43" t="s">
        <v>10</v>
      </c>
      <c r="C43">
        <v>5</v>
      </c>
      <c r="E43" t="s">
        <v>11</v>
      </c>
      <c r="F43" t="s">
        <v>86</v>
      </c>
      <c r="G43" t="s">
        <v>70</v>
      </c>
      <c r="H43">
        <f>Tabla1[[#This Row],[Credit]]-Tabla1[[#This Row],[Debit]]</f>
        <v>-5</v>
      </c>
      <c r="I43" t="str">
        <f>TEXT(Tabla1[[#This Row],[Date]],"mmmm")</f>
        <v>enero</v>
      </c>
      <c r="J43" t="str">
        <f>TEXT(DAY(Tabla1[[#This Row],[Date]]),"dddd")</f>
        <v>domingo</v>
      </c>
      <c r="K43">
        <f>MONTH(Tabla1[[#This Row],[Date]])</f>
        <v>1</v>
      </c>
    </row>
    <row r="44" spans="1:11" x14ac:dyDescent="0.25">
      <c r="A44" s="5">
        <v>45320</v>
      </c>
      <c r="B44" t="s">
        <v>17</v>
      </c>
      <c r="C44">
        <v>162</v>
      </c>
      <c r="E44" t="s">
        <v>95</v>
      </c>
      <c r="F44" t="s">
        <v>87</v>
      </c>
      <c r="G44" t="s">
        <v>70</v>
      </c>
      <c r="H44">
        <f>Tabla1[[#This Row],[Credit]]-Tabla1[[#This Row],[Debit]]</f>
        <v>-162</v>
      </c>
      <c r="I44" t="str">
        <f>TEXT(Tabla1[[#This Row],[Date]],"mmmm")</f>
        <v>enero</v>
      </c>
      <c r="J44" t="str">
        <f>TEXT(DAY(Tabla1[[#This Row],[Date]]),"dddd")</f>
        <v>domingo</v>
      </c>
      <c r="K44">
        <f>MONTH(Tabla1[[#This Row],[Date]])</f>
        <v>1</v>
      </c>
    </row>
    <row r="45" spans="1:11" x14ac:dyDescent="0.25">
      <c r="A45" s="5">
        <v>45321</v>
      </c>
      <c r="B45" t="s">
        <v>41</v>
      </c>
      <c r="C45">
        <v>125</v>
      </c>
      <c r="E45" t="s">
        <v>97</v>
      </c>
      <c r="F45" t="s">
        <v>91</v>
      </c>
      <c r="G45" t="s">
        <v>70</v>
      </c>
      <c r="H45">
        <f>Tabla1[[#This Row],[Credit]]-Tabla1[[#This Row],[Debit]]</f>
        <v>-125</v>
      </c>
      <c r="I45" t="str">
        <f>TEXT(Tabla1[[#This Row],[Date]],"mmmm")</f>
        <v>enero</v>
      </c>
      <c r="J45" t="str">
        <f>TEXT(DAY(Tabla1[[#This Row],[Date]]),"dddd")</f>
        <v>lunes</v>
      </c>
      <c r="K45">
        <f>MONTH(Tabla1[[#This Row],[Date]])</f>
        <v>1</v>
      </c>
    </row>
    <row r="46" spans="1:11" x14ac:dyDescent="0.25">
      <c r="A46" s="5">
        <v>45321</v>
      </c>
      <c r="B46" t="s">
        <v>42</v>
      </c>
      <c r="C46">
        <v>175</v>
      </c>
      <c r="E46" t="s">
        <v>23</v>
      </c>
      <c r="F46" t="s">
        <v>91</v>
      </c>
      <c r="G46" t="s">
        <v>70</v>
      </c>
      <c r="H46">
        <f>Tabla1[[#This Row],[Credit]]-Tabla1[[#This Row],[Debit]]</f>
        <v>-175</v>
      </c>
      <c r="I46" t="str">
        <f>TEXT(Tabla1[[#This Row],[Date]],"mmmm")</f>
        <v>enero</v>
      </c>
      <c r="J46" t="str">
        <f>TEXT(DAY(Tabla1[[#This Row],[Date]]),"dddd")</f>
        <v>lunes</v>
      </c>
      <c r="K46">
        <f>MONTH(Tabla1[[#This Row],[Date]])</f>
        <v>1</v>
      </c>
    </row>
    <row r="47" spans="1:11" x14ac:dyDescent="0.25">
      <c r="A47" s="5">
        <v>45322</v>
      </c>
      <c r="B47" t="s">
        <v>24</v>
      </c>
      <c r="C47">
        <v>145</v>
      </c>
      <c r="E47" t="s">
        <v>97</v>
      </c>
      <c r="F47" t="s">
        <v>91</v>
      </c>
      <c r="G47" t="s">
        <v>70</v>
      </c>
      <c r="H47">
        <f>Tabla1[[#This Row],[Credit]]-Tabla1[[#This Row],[Debit]]</f>
        <v>-145</v>
      </c>
      <c r="I47" t="str">
        <f>TEXT(Tabla1[[#This Row],[Date]],"mmmm")</f>
        <v>enero</v>
      </c>
      <c r="J47" t="str">
        <f>TEXT(DAY(Tabla1[[#This Row],[Date]]),"dddd")</f>
        <v>martes</v>
      </c>
      <c r="K47">
        <f>MONTH(Tabla1[[#This Row],[Date]])</f>
        <v>1</v>
      </c>
    </row>
    <row r="48" spans="1:11" x14ac:dyDescent="0.25">
      <c r="A48" s="5">
        <v>45322</v>
      </c>
      <c r="B48" t="s">
        <v>28</v>
      </c>
      <c r="C48">
        <v>23</v>
      </c>
      <c r="E48" t="s">
        <v>29</v>
      </c>
      <c r="F48" t="s">
        <v>89</v>
      </c>
      <c r="G48" t="s">
        <v>70</v>
      </c>
      <c r="H48">
        <f>Tabla1[[#This Row],[Credit]]-Tabla1[[#This Row],[Debit]]</f>
        <v>-23</v>
      </c>
      <c r="I48" t="str">
        <f>TEXT(Tabla1[[#This Row],[Date]],"mmmm")</f>
        <v>enero</v>
      </c>
      <c r="J48" t="str">
        <f>TEXT(DAY(Tabla1[[#This Row],[Date]]),"dddd")</f>
        <v>martes</v>
      </c>
      <c r="K48">
        <f>MONTH(Tabla1[[#This Row],[Date]])</f>
        <v>1</v>
      </c>
    </row>
    <row r="49" spans="1:11" x14ac:dyDescent="0.25">
      <c r="A49" s="5">
        <v>45323</v>
      </c>
      <c r="B49" t="s">
        <v>7</v>
      </c>
      <c r="D49">
        <v>5000</v>
      </c>
      <c r="E49" t="s">
        <v>8</v>
      </c>
      <c r="F49" t="s">
        <v>90</v>
      </c>
      <c r="G49" t="s">
        <v>93</v>
      </c>
      <c r="H49">
        <f>Tabla1[[#This Row],[Credit]]-Tabla1[[#This Row],[Debit]]</f>
        <v>5000</v>
      </c>
      <c r="I49" t="str">
        <f>TEXT(Tabla1[[#This Row],[Date]],"mmmm")</f>
        <v>febrero</v>
      </c>
      <c r="J49" t="str">
        <f>TEXT(DAY(Tabla1[[#This Row],[Date]]),"dddd")</f>
        <v>domingo</v>
      </c>
      <c r="K49">
        <f>MONTH(Tabla1[[#This Row],[Date]])</f>
        <v>2</v>
      </c>
    </row>
    <row r="50" spans="1:11" x14ac:dyDescent="0.25">
      <c r="A50" s="5">
        <v>45323</v>
      </c>
      <c r="B50" t="s">
        <v>10</v>
      </c>
      <c r="C50">
        <v>5</v>
      </c>
      <c r="E50" t="s">
        <v>11</v>
      </c>
      <c r="F50" t="s">
        <v>86</v>
      </c>
      <c r="G50" t="s">
        <v>70</v>
      </c>
      <c r="H50">
        <f>Tabla1[[#This Row],[Credit]]-Tabla1[[#This Row],[Debit]]</f>
        <v>-5</v>
      </c>
      <c r="I50" t="str">
        <f>TEXT(Tabla1[[#This Row],[Date]],"mmmm")</f>
        <v>febrero</v>
      </c>
      <c r="J50" t="str">
        <f>TEXT(DAY(Tabla1[[#This Row],[Date]]),"dddd")</f>
        <v>domingo</v>
      </c>
      <c r="K50">
        <f>MONTH(Tabla1[[#This Row],[Date]])</f>
        <v>2</v>
      </c>
    </row>
    <row r="51" spans="1:11" x14ac:dyDescent="0.25">
      <c r="A51" s="5">
        <v>45324</v>
      </c>
      <c r="B51" t="s">
        <v>13</v>
      </c>
      <c r="C51">
        <v>900</v>
      </c>
      <c r="E51" t="s">
        <v>94</v>
      </c>
      <c r="F51" t="s">
        <v>87</v>
      </c>
      <c r="G51" t="s">
        <v>70</v>
      </c>
      <c r="H51">
        <f>Tabla1[[#This Row],[Credit]]-Tabla1[[#This Row],[Debit]]</f>
        <v>-900</v>
      </c>
      <c r="I51" t="str">
        <f>TEXT(Tabla1[[#This Row],[Date]],"mmmm")</f>
        <v>febrero</v>
      </c>
      <c r="J51" t="str">
        <f>TEXT(DAY(Tabla1[[#This Row],[Date]]),"dddd")</f>
        <v>lunes</v>
      </c>
      <c r="K51">
        <f>MONTH(Tabla1[[#This Row],[Date]])</f>
        <v>2</v>
      </c>
    </row>
    <row r="52" spans="1:11" x14ac:dyDescent="0.25">
      <c r="A52" s="5">
        <v>45324</v>
      </c>
      <c r="B52" t="s">
        <v>15</v>
      </c>
      <c r="C52">
        <v>150</v>
      </c>
      <c r="E52" t="s">
        <v>98</v>
      </c>
      <c r="F52" t="s">
        <v>89</v>
      </c>
      <c r="G52" t="s">
        <v>70</v>
      </c>
      <c r="H52">
        <f>Tabla1[[#This Row],[Credit]]-Tabla1[[#This Row],[Debit]]</f>
        <v>-150</v>
      </c>
      <c r="I52" t="str">
        <f>TEXT(Tabla1[[#This Row],[Date]],"mmmm")</f>
        <v>febrero</v>
      </c>
      <c r="J52" t="str">
        <f>TEXT(DAY(Tabla1[[#This Row],[Date]]),"dddd")</f>
        <v>lunes</v>
      </c>
      <c r="K52">
        <f>MONTH(Tabla1[[#This Row],[Date]])</f>
        <v>2</v>
      </c>
    </row>
    <row r="53" spans="1:11" x14ac:dyDescent="0.25">
      <c r="A53" s="5">
        <v>45324</v>
      </c>
      <c r="B53" t="s">
        <v>10</v>
      </c>
      <c r="C53">
        <v>5</v>
      </c>
      <c r="E53" t="s">
        <v>11</v>
      </c>
      <c r="F53" t="s">
        <v>86</v>
      </c>
      <c r="G53" t="s">
        <v>70</v>
      </c>
      <c r="H53">
        <f>Tabla1[[#This Row],[Credit]]-Tabla1[[#This Row],[Debit]]</f>
        <v>-5</v>
      </c>
      <c r="I53" t="str">
        <f>TEXT(Tabla1[[#This Row],[Date]],"mmmm")</f>
        <v>febrero</v>
      </c>
      <c r="J53" t="str">
        <f>TEXT(DAY(Tabla1[[#This Row],[Date]]),"dddd")</f>
        <v>lunes</v>
      </c>
      <c r="K53">
        <f>MONTH(Tabla1[[#This Row],[Date]])</f>
        <v>2</v>
      </c>
    </row>
    <row r="54" spans="1:11" x14ac:dyDescent="0.25">
      <c r="A54" s="5">
        <v>45325</v>
      </c>
      <c r="B54" t="s">
        <v>10</v>
      </c>
      <c r="C54">
        <v>5</v>
      </c>
      <c r="E54" t="s">
        <v>11</v>
      </c>
      <c r="F54" t="s">
        <v>86</v>
      </c>
      <c r="G54" t="s">
        <v>70</v>
      </c>
      <c r="H54">
        <f>Tabla1[[#This Row],[Credit]]-Tabla1[[#This Row],[Debit]]</f>
        <v>-5</v>
      </c>
      <c r="I54" t="str">
        <f>TEXT(Tabla1[[#This Row],[Date]],"mmmm")</f>
        <v>febrero</v>
      </c>
      <c r="J54" t="str">
        <f>TEXT(DAY(Tabla1[[#This Row],[Date]]),"dddd")</f>
        <v>martes</v>
      </c>
      <c r="K54">
        <f>MONTH(Tabla1[[#This Row],[Date]])</f>
        <v>2</v>
      </c>
    </row>
    <row r="55" spans="1:11" x14ac:dyDescent="0.25">
      <c r="A55" s="5">
        <v>45326</v>
      </c>
      <c r="B55" t="s">
        <v>10</v>
      </c>
      <c r="C55">
        <v>5</v>
      </c>
      <c r="E55" t="s">
        <v>11</v>
      </c>
      <c r="F55" t="s">
        <v>86</v>
      </c>
      <c r="G55" t="s">
        <v>70</v>
      </c>
      <c r="H55">
        <f>Tabla1[[#This Row],[Credit]]-Tabla1[[#This Row],[Debit]]</f>
        <v>-5</v>
      </c>
      <c r="I55" t="str">
        <f>TEXT(Tabla1[[#This Row],[Date]],"mmmm")</f>
        <v>febrero</v>
      </c>
      <c r="J55" t="str">
        <f>TEXT(DAY(Tabla1[[#This Row],[Date]]),"dddd")</f>
        <v>miércoles</v>
      </c>
      <c r="K55">
        <f>MONTH(Tabla1[[#This Row],[Date]])</f>
        <v>2</v>
      </c>
    </row>
    <row r="56" spans="1:11" x14ac:dyDescent="0.25">
      <c r="A56" s="5">
        <v>45327</v>
      </c>
      <c r="B56" t="s">
        <v>10</v>
      </c>
      <c r="C56">
        <v>5</v>
      </c>
      <c r="E56" t="s">
        <v>11</v>
      </c>
      <c r="F56" t="s">
        <v>86</v>
      </c>
      <c r="G56" t="s">
        <v>70</v>
      </c>
      <c r="H56">
        <f>Tabla1[[#This Row],[Credit]]-Tabla1[[#This Row],[Debit]]</f>
        <v>-5</v>
      </c>
      <c r="I56" t="str">
        <f>TEXT(Tabla1[[#This Row],[Date]],"mmmm")</f>
        <v>febrero</v>
      </c>
      <c r="J56" t="str">
        <f>TEXT(DAY(Tabla1[[#This Row],[Date]]),"dddd")</f>
        <v>jueves</v>
      </c>
      <c r="K56">
        <f>MONTH(Tabla1[[#This Row],[Date]])</f>
        <v>2</v>
      </c>
    </row>
    <row r="57" spans="1:11" x14ac:dyDescent="0.25">
      <c r="A57" s="5">
        <v>45327</v>
      </c>
      <c r="B57" t="s">
        <v>17</v>
      </c>
      <c r="C57">
        <v>205</v>
      </c>
      <c r="E57" t="s">
        <v>95</v>
      </c>
      <c r="F57" t="s">
        <v>87</v>
      </c>
      <c r="G57" t="s">
        <v>70</v>
      </c>
      <c r="H57">
        <f>Tabla1[[#This Row],[Credit]]-Tabla1[[#This Row],[Debit]]</f>
        <v>-205</v>
      </c>
      <c r="I57" t="str">
        <f>TEXT(Tabla1[[#This Row],[Date]],"mmmm")</f>
        <v>febrero</v>
      </c>
      <c r="J57" t="str">
        <f>TEXT(DAY(Tabla1[[#This Row],[Date]]),"dddd")</f>
        <v>jueves</v>
      </c>
      <c r="K57">
        <f>MONTH(Tabla1[[#This Row],[Date]])</f>
        <v>2</v>
      </c>
    </row>
    <row r="58" spans="1:11" x14ac:dyDescent="0.25">
      <c r="A58" s="5">
        <v>45330</v>
      </c>
      <c r="B58" t="s">
        <v>19</v>
      </c>
      <c r="C58">
        <v>51.1</v>
      </c>
      <c r="E58" t="s">
        <v>20</v>
      </c>
      <c r="F58" t="s">
        <v>87</v>
      </c>
      <c r="G58" t="s">
        <v>70</v>
      </c>
      <c r="H58">
        <f>Tabla1[[#This Row],[Credit]]-Tabla1[[#This Row],[Debit]]</f>
        <v>-51.1</v>
      </c>
      <c r="I58" t="str">
        <f>TEXT(Tabla1[[#This Row],[Date]],"mmmm")</f>
        <v>febrero</v>
      </c>
      <c r="J58" t="str">
        <f>TEXT(DAY(Tabla1[[#This Row],[Date]]),"dddd")</f>
        <v>domingo</v>
      </c>
      <c r="K58">
        <f>MONTH(Tabla1[[#This Row],[Date]])</f>
        <v>2</v>
      </c>
    </row>
    <row r="59" spans="1:11" x14ac:dyDescent="0.25">
      <c r="A59" s="5">
        <v>45330</v>
      </c>
      <c r="B59" t="s">
        <v>10</v>
      </c>
      <c r="C59">
        <v>5</v>
      </c>
      <c r="E59" t="s">
        <v>11</v>
      </c>
      <c r="F59" t="s">
        <v>86</v>
      </c>
      <c r="G59" t="s">
        <v>70</v>
      </c>
      <c r="H59">
        <f>Tabla1[[#This Row],[Credit]]-Tabla1[[#This Row],[Debit]]</f>
        <v>-5</v>
      </c>
      <c r="I59" t="str">
        <f>TEXT(Tabla1[[#This Row],[Date]],"mmmm")</f>
        <v>febrero</v>
      </c>
      <c r="J59" t="str">
        <f>TEXT(DAY(Tabla1[[#This Row],[Date]]),"dddd")</f>
        <v>domingo</v>
      </c>
      <c r="K59">
        <f>MONTH(Tabla1[[#This Row],[Date]])</f>
        <v>2</v>
      </c>
    </row>
    <row r="60" spans="1:11" x14ac:dyDescent="0.25">
      <c r="A60" s="5">
        <v>45331</v>
      </c>
      <c r="B60" t="s">
        <v>10</v>
      </c>
      <c r="C60">
        <v>5</v>
      </c>
      <c r="E60" t="s">
        <v>11</v>
      </c>
      <c r="F60" t="s">
        <v>86</v>
      </c>
      <c r="G60" t="s">
        <v>70</v>
      </c>
      <c r="H60">
        <f>Tabla1[[#This Row],[Credit]]-Tabla1[[#This Row],[Debit]]</f>
        <v>-5</v>
      </c>
      <c r="I60" t="str">
        <f>TEXT(Tabla1[[#This Row],[Date]],"mmmm")</f>
        <v>febrero</v>
      </c>
      <c r="J60" t="str">
        <f>TEXT(DAY(Tabla1[[#This Row],[Date]]),"dddd")</f>
        <v>lunes</v>
      </c>
      <c r="K60">
        <f>MONTH(Tabla1[[#This Row],[Date]])</f>
        <v>2</v>
      </c>
    </row>
    <row r="61" spans="1:11" x14ac:dyDescent="0.25">
      <c r="A61" s="5">
        <v>45332</v>
      </c>
      <c r="B61" t="s">
        <v>21</v>
      </c>
      <c r="C61">
        <v>78</v>
      </c>
      <c r="E61" t="s">
        <v>96</v>
      </c>
      <c r="F61" t="s">
        <v>89</v>
      </c>
      <c r="G61" t="s">
        <v>70</v>
      </c>
      <c r="H61">
        <f>Tabla1[[#This Row],[Credit]]-Tabla1[[#This Row],[Debit]]</f>
        <v>-78</v>
      </c>
      <c r="I61" t="str">
        <f>TEXT(Tabla1[[#This Row],[Date]],"mmmm")</f>
        <v>febrero</v>
      </c>
      <c r="J61" t="str">
        <f>TEXT(DAY(Tabla1[[#This Row],[Date]]),"dddd")</f>
        <v>martes</v>
      </c>
      <c r="K61">
        <f>MONTH(Tabla1[[#This Row],[Date]])</f>
        <v>2</v>
      </c>
    </row>
    <row r="62" spans="1:11" x14ac:dyDescent="0.25">
      <c r="A62" s="5">
        <v>45332</v>
      </c>
      <c r="B62" t="s">
        <v>10</v>
      </c>
      <c r="C62">
        <v>5</v>
      </c>
      <c r="E62" t="s">
        <v>11</v>
      </c>
      <c r="F62" t="s">
        <v>86</v>
      </c>
      <c r="G62" t="s">
        <v>70</v>
      </c>
      <c r="H62">
        <f>Tabla1[[#This Row],[Credit]]-Tabla1[[#This Row],[Debit]]</f>
        <v>-5</v>
      </c>
      <c r="I62" t="str">
        <f>TEXT(Tabla1[[#This Row],[Date]],"mmmm")</f>
        <v>febrero</v>
      </c>
      <c r="J62" t="str">
        <f>TEXT(DAY(Tabla1[[#This Row],[Date]]),"dddd")</f>
        <v>martes</v>
      </c>
      <c r="K62">
        <f>MONTH(Tabla1[[#This Row],[Date]])</f>
        <v>2</v>
      </c>
    </row>
    <row r="63" spans="1:11" x14ac:dyDescent="0.25">
      <c r="A63" s="5">
        <v>45333</v>
      </c>
      <c r="B63" t="s">
        <v>10</v>
      </c>
      <c r="C63">
        <v>5</v>
      </c>
      <c r="E63" t="s">
        <v>11</v>
      </c>
      <c r="F63" t="s">
        <v>86</v>
      </c>
      <c r="G63" t="s">
        <v>70</v>
      </c>
      <c r="H63">
        <f>Tabla1[[#This Row],[Credit]]-Tabla1[[#This Row],[Debit]]</f>
        <v>-5</v>
      </c>
      <c r="I63" t="str">
        <f>TEXT(Tabla1[[#This Row],[Date]],"mmmm")</f>
        <v>febrero</v>
      </c>
      <c r="J63" t="str">
        <f>TEXT(DAY(Tabla1[[#This Row],[Date]]),"dddd")</f>
        <v>miércoles</v>
      </c>
      <c r="K63">
        <f>MONTH(Tabla1[[#This Row],[Date]])</f>
        <v>2</v>
      </c>
    </row>
    <row r="64" spans="1:11" x14ac:dyDescent="0.25">
      <c r="A64" s="5">
        <v>45334</v>
      </c>
      <c r="B64" t="s">
        <v>17</v>
      </c>
      <c r="C64">
        <v>135.9</v>
      </c>
      <c r="E64" t="s">
        <v>95</v>
      </c>
      <c r="F64" t="s">
        <v>87</v>
      </c>
      <c r="G64" t="s">
        <v>70</v>
      </c>
      <c r="H64">
        <f>Tabla1[[#This Row],[Credit]]-Tabla1[[#This Row],[Debit]]</f>
        <v>-135.9</v>
      </c>
      <c r="I64" t="str">
        <f>TEXT(Tabla1[[#This Row],[Date]],"mmmm")</f>
        <v>febrero</v>
      </c>
      <c r="J64" t="str">
        <f>TEXT(DAY(Tabla1[[#This Row],[Date]]),"dddd")</f>
        <v>jueves</v>
      </c>
      <c r="K64">
        <f>MONTH(Tabla1[[#This Row],[Date]])</f>
        <v>2</v>
      </c>
    </row>
    <row r="65" spans="1:11" x14ac:dyDescent="0.25">
      <c r="A65" s="5">
        <v>45334</v>
      </c>
      <c r="B65" t="s">
        <v>10</v>
      </c>
      <c r="C65">
        <v>5</v>
      </c>
      <c r="E65" t="s">
        <v>11</v>
      </c>
      <c r="F65" t="s">
        <v>86</v>
      </c>
      <c r="G65" t="s">
        <v>70</v>
      </c>
      <c r="H65">
        <f>Tabla1[[#This Row],[Credit]]-Tabla1[[#This Row],[Debit]]</f>
        <v>-5</v>
      </c>
      <c r="I65" t="str">
        <f>TEXT(Tabla1[[#This Row],[Date]],"mmmm")</f>
        <v>febrero</v>
      </c>
      <c r="J65" t="str">
        <f>TEXT(DAY(Tabla1[[#This Row],[Date]]),"dddd")</f>
        <v>jueves</v>
      </c>
      <c r="K65">
        <f>MONTH(Tabla1[[#This Row],[Date]])</f>
        <v>2</v>
      </c>
    </row>
    <row r="66" spans="1:11" x14ac:dyDescent="0.25">
      <c r="A66" s="5">
        <v>45335</v>
      </c>
      <c r="B66" t="s">
        <v>10</v>
      </c>
      <c r="C66">
        <v>5</v>
      </c>
      <c r="E66" t="s">
        <v>11</v>
      </c>
      <c r="F66" t="s">
        <v>86</v>
      </c>
      <c r="G66" t="s">
        <v>70</v>
      </c>
      <c r="H66">
        <f>Tabla1[[#This Row],[Credit]]-Tabla1[[#This Row],[Debit]]</f>
        <v>-5</v>
      </c>
      <c r="I66" t="str">
        <f>TEXT(Tabla1[[#This Row],[Date]],"mmmm")</f>
        <v>febrero</v>
      </c>
      <c r="J66" t="str">
        <f>TEXT(DAY(Tabla1[[#This Row],[Date]]),"dddd")</f>
        <v>viernes</v>
      </c>
      <c r="K66">
        <f>MONTH(Tabla1[[#This Row],[Date]])</f>
        <v>2</v>
      </c>
    </row>
    <row r="67" spans="1:11" x14ac:dyDescent="0.25">
      <c r="A67" s="5">
        <v>45335</v>
      </c>
      <c r="B67" t="s">
        <v>22</v>
      </c>
      <c r="C67">
        <v>40.9</v>
      </c>
      <c r="E67" t="s">
        <v>23</v>
      </c>
      <c r="F67" t="s">
        <v>91</v>
      </c>
      <c r="G67" t="s">
        <v>70</v>
      </c>
      <c r="H67">
        <f>Tabla1[[#This Row],[Credit]]-Tabla1[[#This Row],[Debit]]</f>
        <v>-40.9</v>
      </c>
      <c r="I67" t="str">
        <f>TEXT(Tabla1[[#This Row],[Date]],"mmmm")</f>
        <v>febrero</v>
      </c>
      <c r="J67" t="str">
        <f>TEXT(DAY(Tabla1[[#This Row],[Date]]),"dddd")</f>
        <v>viernes</v>
      </c>
      <c r="K67">
        <f>MONTH(Tabla1[[#This Row],[Date]])</f>
        <v>2</v>
      </c>
    </row>
    <row r="68" spans="1:11" x14ac:dyDescent="0.25">
      <c r="A68" s="5">
        <v>45335</v>
      </c>
      <c r="B68" t="s">
        <v>24</v>
      </c>
      <c r="C68">
        <v>99</v>
      </c>
      <c r="E68" t="s">
        <v>97</v>
      </c>
      <c r="F68" t="s">
        <v>91</v>
      </c>
      <c r="G68" t="s">
        <v>70</v>
      </c>
      <c r="H68">
        <f>Tabla1[[#This Row],[Credit]]-Tabla1[[#This Row],[Debit]]</f>
        <v>-99</v>
      </c>
      <c r="I68" t="str">
        <f>TEXT(Tabla1[[#This Row],[Date]],"mmmm")</f>
        <v>febrero</v>
      </c>
      <c r="J68" t="str">
        <f>TEXT(DAY(Tabla1[[#This Row],[Date]]),"dddd")</f>
        <v>viernes</v>
      </c>
      <c r="K68">
        <f>MONTH(Tabla1[[#This Row],[Date]])</f>
        <v>2</v>
      </c>
    </row>
    <row r="69" spans="1:11" x14ac:dyDescent="0.25">
      <c r="A69" s="5">
        <v>45335</v>
      </c>
      <c r="B69" t="s">
        <v>26</v>
      </c>
      <c r="C69">
        <v>53</v>
      </c>
      <c r="E69" t="s">
        <v>27</v>
      </c>
      <c r="F69" t="s">
        <v>86</v>
      </c>
      <c r="G69" t="s">
        <v>70</v>
      </c>
      <c r="H69">
        <f>Tabla1[[#This Row],[Credit]]-Tabla1[[#This Row],[Debit]]</f>
        <v>-53</v>
      </c>
      <c r="I69" t="str">
        <f>TEXT(Tabla1[[#This Row],[Date]],"mmmm")</f>
        <v>febrero</v>
      </c>
      <c r="J69" t="str">
        <f>TEXT(DAY(Tabla1[[#This Row],[Date]]),"dddd")</f>
        <v>viernes</v>
      </c>
      <c r="K69">
        <f>MONTH(Tabla1[[#This Row],[Date]])</f>
        <v>2</v>
      </c>
    </row>
    <row r="70" spans="1:11" x14ac:dyDescent="0.25">
      <c r="A70" s="5">
        <v>45336</v>
      </c>
      <c r="B70" t="s">
        <v>28</v>
      </c>
      <c r="C70">
        <v>28.9</v>
      </c>
      <c r="E70" t="s">
        <v>29</v>
      </c>
      <c r="F70" t="s">
        <v>89</v>
      </c>
      <c r="G70" t="s">
        <v>70</v>
      </c>
      <c r="H70">
        <f>Tabla1[[#This Row],[Credit]]-Tabla1[[#This Row],[Debit]]</f>
        <v>-28.9</v>
      </c>
      <c r="I70" t="str">
        <f>TEXT(Tabla1[[#This Row],[Date]],"mmmm")</f>
        <v>febrero</v>
      </c>
      <c r="J70" t="str">
        <f>TEXT(DAY(Tabla1[[#This Row],[Date]]),"dddd")</f>
        <v>sábado</v>
      </c>
      <c r="K70">
        <f>MONTH(Tabla1[[#This Row],[Date]])</f>
        <v>2</v>
      </c>
    </row>
    <row r="71" spans="1:11" x14ac:dyDescent="0.25">
      <c r="A71" s="5">
        <v>45337</v>
      </c>
      <c r="B71" t="s">
        <v>30</v>
      </c>
      <c r="D71">
        <v>800</v>
      </c>
      <c r="E71" t="s">
        <v>31</v>
      </c>
      <c r="F71" t="s">
        <v>92</v>
      </c>
      <c r="G71" t="s">
        <v>93</v>
      </c>
      <c r="H71">
        <f>Tabla1[[#This Row],[Credit]]-Tabla1[[#This Row],[Debit]]</f>
        <v>800</v>
      </c>
      <c r="I71" t="str">
        <f>TEXT(Tabla1[[#This Row],[Date]],"mmmm")</f>
        <v>febrero</v>
      </c>
      <c r="J71" t="str">
        <f>TEXT(DAY(Tabla1[[#This Row],[Date]]),"dddd")</f>
        <v>domingo</v>
      </c>
      <c r="K71">
        <f>MONTH(Tabla1[[#This Row],[Date]])</f>
        <v>2</v>
      </c>
    </row>
    <row r="72" spans="1:11" x14ac:dyDescent="0.25">
      <c r="A72" s="5">
        <v>45337</v>
      </c>
      <c r="B72" t="s">
        <v>10</v>
      </c>
      <c r="C72">
        <v>5</v>
      </c>
      <c r="E72" t="s">
        <v>11</v>
      </c>
      <c r="F72" t="s">
        <v>86</v>
      </c>
      <c r="G72" t="s">
        <v>70</v>
      </c>
      <c r="H72">
        <f>Tabla1[[#This Row],[Credit]]-Tabla1[[#This Row],[Debit]]</f>
        <v>-5</v>
      </c>
      <c r="I72" t="str">
        <f>TEXT(Tabla1[[#This Row],[Date]],"mmmm")</f>
        <v>febrero</v>
      </c>
      <c r="J72" t="str">
        <f>TEXT(DAY(Tabla1[[#This Row],[Date]]),"dddd")</f>
        <v>domingo</v>
      </c>
      <c r="K72">
        <f>MONTH(Tabla1[[#This Row],[Date]])</f>
        <v>2</v>
      </c>
    </row>
    <row r="73" spans="1:11" x14ac:dyDescent="0.25">
      <c r="A73" s="5">
        <v>45338</v>
      </c>
      <c r="B73" t="s">
        <v>10</v>
      </c>
      <c r="C73">
        <v>5</v>
      </c>
      <c r="E73" t="s">
        <v>11</v>
      </c>
      <c r="F73" t="s">
        <v>86</v>
      </c>
      <c r="G73" t="s">
        <v>70</v>
      </c>
      <c r="H73">
        <f>Tabla1[[#This Row],[Credit]]-Tabla1[[#This Row],[Debit]]</f>
        <v>-5</v>
      </c>
      <c r="I73" t="str">
        <f>TEXT(Tabla1[[#This Row],[Date]],"mmmm")</f>
        <v>febrero</v>
      </c>
      <c r="J73" t="str">
        <f>TEXT(DAY(Tabla1[[#This Row],[Date]]),"dddd")</f>
        <v>lunes</v>
      </c>
      <c r="K73">
        <f>MONTH(Tabla1[[#This Row],[Date]])</f>
        <v>2</v>
      </c>
    </row>
    <row r="74" spans="1:11" x14ac:dyDescent="0.25">
      <c r="A74" s="5">
        <v>45338</v>
      </c>
      <c r="B74" t="s">
        <v>33</v>
      </c>
      <c r="C74">
        <v>40</v>
      </c>
      <c r="E74" t="s">
        <v>33</v>
      </c>
      <c r="F74" t="s">
        <v>87</v>
      </c>
      <c r="G74" t="s">
        <v>70</v>
      </c>
      <c r="H74">
        <f>Tabla1[[#This Row],[Credit]]-Tabla1[[#This Row],[Debit]]</f>
        <v>-40</v>
      </c>
      <c r="I74" t="str">
        <f>TEXT(Tabla1[[#This Row],[Date]],"mmmm")</f>
        <v>febrero</v>
      </c>
      <c r="J74" t="str">
        <f>TEXT(DAY(Tabla1[[#This Row],[Date]]),"dddd")</f>
        <v>lunes</v>
      </c>
      <c r="K74">
        <f>MONTH(Tabla1[[#This Row],[Date]])</f>
        <v>2</v>
      </c>
    </row>
    <row r="75" spans="1:11" x14ac:dyDescent="0.25">
      <c r="A75" s="5">
        <v>45339</v>
      </c>
      <c r="B75" t="s">
        <v>34</v>
      </c>
      <c r="C75">
        <v>45.9</v>
      </c>
      <c r="E75" t="s">
        <v>35</v>
      </c>
      <c r="F75" t="s">
        <v>91</v>
      </c>
      <c r="G75" t="s">
        <v>70</v>
      </c>
      <c r="H75">
        <f>Tabla1[[#This Row],[Credit]]-Tabla1[[#This Row],[Debit]]</f>
        <v>-45.9</v>
      </c>
      <c r="I75" t="str">
        <f>TEXT(Tabla1[[#This Row],[Date]],"mmmm")</f>
        <v>febrero</v>
      </c>
      <c r="J75" t="str">
        <f>TEXT(DAY(Tabla1[[#This Row],[Date]]),"dddd")</f>
        <v>martes</v>
      </c>
      <c r="K75">
        <f>MONTH(Tabla1[[#This Row],[Date]])</f>
        <v>2</v>
      </c>
    </row>
    <row r="76" spans="1:11" x14ac:dyDescent="0.25">
      <c r="A76" s="5">
        <v>45339</v>
      </c>
      <c r="B76" t="s">
        <v>36</v>
      </c>
      <c r="C76">
        <v>35</v>
      </c>
      <c r="E76" t="s">
        <v>23</v>
      </c>
      <c r="F76" t="s">
        <v>91</v>
      </c>
      <c r="G76" t="s">
        <v>70</v>
      </c>
      <c r="H76">
        <f>Tabla1[[#This Row],[Credit]]-Tabla1[[#This Row],[Debit]]</f>
        <v>-35</v>
      </c>
      <c r="I76" t="str">
        <f>TEXT(Tabla1[[#This Row],[Date]],"mmmm")</f>
        <v>febrero</v>
      </c>
      <c r="J76" t="str">
        <f>TEXT(DAY(Tabla1[[#This Row],[Date]]),"dddd")</f>
        <v>martes</v>
      </c>
      <c r="K76">
        <f>MONTH(Tabla1[[#This Row],[Date]])</f>
        <v>2</v>
      </c>
    </row>
    <row r="77" spans="1:11" x14ac:dyDescent="0.25">
      <c r="A77" s="5">
        <v>45339</v>
      </c>
      <c r="B77" t="s">
        <v>10</v>
      </c>
      <c r="C77">
        <v>5</v>
      </c>
      <c r="E77" t="s">
        <v>11</v>
      </c>
      <c r="F77" t="s">
        <v>86</v>
      </c>
      <c r="G77" t="s">
        <v>70</v>
      </c>
      <c r="H77">
        <f>Tabla1[[#This Row],[Credit]]-Tabla1[[#This Row],[Debit]]</f>
        <v>-5</v>
      </c>
      <c r="I77" t="str">
        <f>TEXT(Tabla1[[#This Row],[Date]],"mmmm")</f>
        <v>febrero</v>
      </c>
      <c r="J77" t="str">
        <f>TEXT(DAY(Tabla1[[#This Row],[Date]]),"dddd")</f>
        <v>martes</v>
      </c>
      <c r="K77">
        <f>MONTH(Tabla1[[#This Row],[Date]])</f>
        <v>2</v>
      </c>
    </row>
    <row r="78" spans="1:11" x14ac:dyDescent="0.25">
      <c r="A78" s="5">
        <v>45340</v>
      </c>
      <c r="B78" t="s">
        <v>10</v>
      </c>
      <c r="C78">
        <v>5</v>
      </c>
      <c r="E78" t="s">
        <v>11</v>
      </c>
      <c r="F78" t="s">
        <v>86</v>
      </c>
      <c r="G78" t="s">
        <v>70</v>
      </c>
      <c r="H78">
        <f>Tabla1[[#This Row],[Credit]]-Tabla1[[#This Row],[Debit]]</f>
        <v>-5</v>
      </c>
      <c r="I78" t="str">
        <f>TEXT(Tabla1[[#This Row],[Date]],"mmmm")</f>
        <v>febrero</v>
      </c>
      <c r="J78" t="str">
        <f>TEXT(DAY(Tabla1[[#This Row],[Date]]),"dddd")</f>
        <v>miércoles</v>
      </c>
      <c r="K78">
        <f>MONTH(Tabla1[[#This Row],[Date]])</f>
        <v>2</v>
      </c>
    </row>
    <row r="79" spans="1:11" x14ac:dyDescent="0.25">
      <c r="A79" s="5">
        <v>45341</v>
      </c>
      <c r="B79" t="s">
        <v>10</v>
      </c>
      <c r="C79">
        <v>5</v>
      </c>
      <c r="E79" t="s">
        <v>11</v>
      </c>
      <c r="F79" t="s">
        <v>86</v>
      </c>
      <c r="G79" t="s">
        <v>70</v>
      </c>
      <c r="H79">
        <f>Tabla1[[#This Row],[Credit]]-Tabla1[[#This Row],[Debit]]</f>
        <v>-5</v>
      </c>
      <c r="I79" t="str">
        <f>TEXT(Tabla1[[#This Row],[Date]],"mmmm")</f>
        <v>febrero</v>
      </c>
      <c r="J79" t="str">
        <f>TEXT(DAY(Tabla1[[#This Row],[Date]]),"dddd")</f>
        <v>jueves</v>
      </c>
      <c r="K79">
        <f>MONTH(Tabla1[[#This Row],[Date]])</f>
        <v>2</v>
      </c>
    </row>
    <row r="80" spans="1:11" x14ac:dyDescent="0.25">
      <c r="A80" s="5">
        <v>45341</v>
      </c>
      <c r="B80" t="s">
        <v>17</v>
      </c>
      <c r="C80">
        <v>171</v>
      </c>
      <c r="E80" t="s">
        <v>95</v>
      </c>
      <c r="F80" t="s">
        <v>87</v>
      </c>
      <c r="G80" t="s">
        <v>70</v>
      </c>
      <c r="H80">
        <f>Tabla1[[#This Row],[Credit]]-Tabla1[[#This Row],[Debit]]</f>
        <v>-171</v>
      </c>
      <c r="I80" t="str">
        <f>TEXT(Tabla1[[#This Row],[Date]],"mmmm")</f>
        <v>febrero</v>
      </c>
      <c r="J80" t="str">
        <f>TEXT(DAY(Tabla1[[#This Row],[Date]]),"dddd")</f>
        <v>jueves</v>
      </c>
      <c r="K80">
        <f>MONTH(Tabla1[[#This Row],[Date]])</f>
        <v>2</v>
      </c>
    </row>
    <row r="81" spans="1:11" x14ac:dyDescent="0.25">
      <c r="A81" s="5">
        <v>45342</v>
      </c>
      <c r="B81" t="s">
        <v>37</v>
      </c>
      <c r="C81">
        <v>37.9</v>
      </c>
      <c r="E81" t="s">
        <v>27</v>
      </c>
      <c r="F81" t="s">
        <v>86</v>
      </c>
      <c r="G81" t="s">
        <v>70</v>
      </c>
      <c r="H81">
        <f>Tabla1[[#This Row],[Credit]]-Tabla1[[#This Row],[Debit]]</f>
        <v>-37.9</v>
      </c>
      <c r="I81" t="str">
        <f>TEXT(Tabla1[[#This Row],[Date]],"mmmm")</f>
        <v>febrero</v>
      </c>
      <c r="J81" t="str">
        <f>TEXT(DAY(Tabla1[[#This Row],[Date]]),"dddd")</f>
        <v>viernes</v>
      </c>
      <c r="K81">
        <f>MONTH(Tabla1[[#This Row],[Date]])</f>
        <v>2</v>
      </c>
    </row>
    <row r="82" spans="1:11" x14ac:dyDescent="0.25">
      <c r="A82" s="5">
        <v>45343</v>
      </c>
      <c r="B82" t="s">
        <v>38</v>
      </c>
      <c r="C82">
        <v>12.9</v>
      </c>
      <c r="E82" t="s">
        <v>27</v>
      </c>
      <c r="F82" t="s">
        <v>86</v>
      </c>
      <c r="G82" t="s">
        <v>70</v>
      </c>
      <c r="H82">
        <f>Tabla1[[#This Row],[Credit]]-Tabla1[[#This Row],[Debit]]</f>
        <v>-12.9</v>
      </c>
      <c r="I82" t="str">
        <f>TEXT(Tabla1[[#This Row],[Date]],"mmmm")</f>
        <v>febrero</v>
      </c>
      <c r="J82" t="str">
        <f>TEXT(DAY(Tabla1[[#This Row],[Date]]),"dddd")</f>
        <v>sábado</v>
      </c>
      <c r="K82">
        <f>MONTH(Tabla1[[#This Row],[Date]])</f>
        <v>2</v>
      </c>
    </row>
    <row r="83" spans="1:11" x14ac:dyDescent="0.25">
      <c r="A83" s="5">
        <v>45344</v>
      </c>
      <c r="B83" t="s">
        <v>39</v>
      </c>
      <c r="C83">
        <v>55</v>
      </c>
      <c r="E83" t="s">
        <v>40</v>
      </c>
      <c r="F83" t="s">
        <v>85</v>
      </c>
      <c r="G83" t="s">
        <v>70</v>
      </c>
      <c r="H83">
        <f>Tabla1[[#This Row],[Credit]]-Tabla1[[#This Row],[Debit]]</f>
        <v>-55</v>
      </c>
      <c r="I83" t="str">
        <f>TEXT(Tabla1[[#This Row],[Date]],"mmmm")</f>
        <v>febrero</v>
      </c>
      <c r="J83" t="str">
        <f>TEXT(DAY(Tabla1[[#This Row],[Date]]),"dddd")</f>
        <v>domingo</v>
      </c>
      <c r="K83">
        <f>MONTH(Tabla1[[#This Row],[Date]])</f>
        <v>2</v>
      </c>
    </row>
    <row r="84" spans="1:11" x14ac:dyDescent="0.25">
      <c r="A84" s="5">
        <v>45344</v>
      </c>
      <c r="B84" t="s">
        <v>21</v>
      </c>
      <c r="C84">
        <v>64.099999999999994</v>
      </c>
      <c r="E84" t="s">
        <v>96</v>
      </c>
      <c r="F84" t="s">
        <v>89</v>
      </c>
      <c r="G84" t="s">
        <v>70</v>
      </c>
      <c r="H84">
        <f>Tabla1[[#This Row],[Credit]]-Tabla1[[#This Row],[Debit]]</f>
        <v>-64.099999999999994</v>
      </c>
      <c r="I84" t="str">
        <f>TEXT(Tabla1[[#This Row],[Date]],"mmmm")</f>
        <v>febrero</v>
      </c>
      <c r="J84" t="str">
        <f>TEXT(DAY(Tabla1[[#This Row],[Date]]),"dddd")</f>
        <v>domingo</v>
      </c>
      <c r="K84">
        <f>MONTH(Tabla1[[#This Row],[Date]])</f>
        <v>2</v>
      </c>
    </row>
    <row r="85" spans="1:11" x14ac:dyDescent="0.25">
      <c r="A85" s="5">
        <v>45344</v>
      </c>
      <c r="B85" t="s">
        <v>10</v>
      </c>
      <c r="C85">
        <v>5</v>
      </c>
      <c r="E85" t="s">
        <v>11</v>
      </c>
      <c r="F85" t="s">
        <v>86</v>
      </c>
      <c r="G85" t="s">
        <v>70</v>
      </c>
      <c r="H85">
        <f>Tabla1[[#This Row],[Credit]]-Tabla1[[#This Row],[Debit]]</f>
        <v>-5</v>
      </c>
      <c r="I85" t="str">
        <f>TEXT(Tabla1[[#This Row],[Date]],"mmmm")</f>
        <v>febrero</v>
      </c>
      <c r="J85" t="str">
        <f>TEXT(DAY(Tabla1[[#This Row],[Date]]),"dddd")</f>
        <v>domingo</v>
      </c>
      <c r="K85">
        <f>MONTH(Tabla1[[#This Row],[Date]])</f>
        <v>2</v>
      </c>
    </row>
    <row r="86" spans="1:11" x14ac:dyDescent="0.25">
      <c r="A86" s="5">
        <v>45345</v>
      </c>
      <c r="B86" t="s">
        <v>10</v>
      </c>
      <c r="C86">
        <v>5</v>
      </c>
      <c r="E86" t="s">
        <v>11</v>
      </c>
      <c r="F86" t="s">
        <v>86</v>
      </c>
      <c r="G86" t="s">
        <v>70</v>
      </c>
      <c r="H86">
        <f>Tabla1[[#This Row],[Credit]]-Tabla1[[#This Row],[Debit]]</f>
        <v>-5</v>
      </c>
      <c r="I86" t="str">
        <f>TEXT(Tabla1[[#This Row],[Date]],"mmmm")</f>
        <v>febrero</v>
      </c>
      <c r="J86" t="str">
        <f>TEXT(DAY(Tabla1[[#This Row],[Date]]),"dddd")</f>
        <v>lunes</v>
      </c>
      <c r="K86">
        <f>MONTH(Tabla1[[#This Row],[Date]])</f>
        <v>2</v>
      </c>
    </row>
    <row r="87" spans="1:11" x14ac:dyDescent="0.25">
      <c r="A87" s="5">
        <v>45346</v>
      </c>
      <c r="B87" t="s">
        <v>10</v>
      </c>
      <c r="C87">
        <v>5</v>
      </c>
      <c r="E87" t="s">
        <v>11</v>
      </c>
      <c r="F87" t="s">
        <v>86</v>
      </c>
      <c r="G87" t="s">
        <v>70</v>
      </c>
      <c r="H87">
        <f>Tabla1[[#This Row],[Credit]]-Tabla1[[#This Row],[Debit]]</f>
        <v>-5</v>
      </c>
      <c r="I87" t="str">
        <f>TEXT(Tabla1[[#This Row],[Date]],"mmmm")</f>
        <v>febrero</v>
      </c>
      <c r="J87" t="str">
        <f>TEXT(DAY(Tabla1[[#This Row],[Date]]),"dddd")</f>
        <v>martes</v>
      </c>
      <c r="K87">
        <f>MONTH(Tabla1[[#This Row],[Date]])</f>
        <v>2</v>
      </c>
    </row>
    <row r="88" spans="1:11" x14ac:dyDescent="0.25">
      <c r="A88" s="5">
        <v>45347</v>
      </c>
      <c r="B88" t="s">
        <v>10</v>
      </c>
      <c r="C88">
        <v>5</v>
      </c>
      <c r="E88" t="s">
        <v>11</v>
      </c>
      <c r="F88" t="s">
        <v>86</v>
      </c>
      <c r="G88" t="s">
        <v>70</v>
      </c>
      <c r="H88">
        <f>Tabla1[[#This Row],[Credit]]-Tabla1[[#This Row],[Debit]]</f>
        <v>-5</v>
      </c>
      <c r="I88" t="str">
        <f>TEXT(Tabla1[[#This Row],[Date]],"mmmm")</f>
        <v>febrero</v>
      </c>
      <c r="J88" t="str">
        <f>TEXT(DAY(Tabla1[[#This Row],[Date]]),"dddd")</f>
        <v>miércoles</v>
      </c>
      <c r="K88">
        <f>MONTH(Tabla1[[#This Row],[Date]])</f>
        <v>2</v>
      </c>
    </row>
    <row r="89" spans="1:11" x14ac:dyDescent="0.25">
      <c r="A89" s="5">
        <v>45348</v>
      </c>
      <c r="B89" t="s">
        <v>10</v>
      </c>
      <c r="C89">
        <v>5</v>
      </c>
      <c r="E89" t="s">
        <v>11</v>
      </c>
      <c r="F89" t="s">
        <v>86</v>
      </c>
      <c r="G89" t="s">
        <v>70</v>
      </c>
      <c r="H89">
        <f>Tabla1[[#This Row],[Credit]]-Tabla1[[#This Row],[Debit]]</f>
        <v>-5</v>
      </c>
      <c r="I89" t="str">
        <f>TEXT(Tabla1[[#This Row],[Date]],"mmmm")</f>
        <v>febrero</v>
      </c>
      <c r="J89" t="str">
        <f>TEXT(DAY(Tabla1[[#This Row],[Date]]),"dddd")</f>
        <v>jueves</v>
      </c>
      <c r="K89">
        <f>MONTH(Tabla1[[#This Row],[Date]])</f>
        <v>2</v>
      </c>
    </row>
    <row r="90" spans="1:11" x14ac:dyDescent="0.25">
      <c r="A90" s="5">
        <v>45348</v>
      </c>
      <c r="B90" t="s">
        <v>17</v>
      </c>
      <c r="C90">
        <v>162.9</v>
      </c>
      <c r="E90" t="s">
        <v>95</v>
      </c>
      <c r="F90" t="s">
        <v>87</v>
      </c>
      <c r="G90" t="s">
        <v>70</v>
      </c>
      <c r="H90">
        <f>Tabla1[[#This Row],[Credit]]-Tabla1[[#This Row],[Debit]]</f>
        <v>-162.9</v>
      </c>
      <c r="I90" t="str">
        <f>TEXT(Tabla1[[#This Row],[Date]],"mmmm")</f>
        <v>febrero</v>
      </c>
      <c r="J90" t="str">
        <f>TEXT(DAY(Tabla1[[#This Row],[Date]]),"dddd")</f>
        <v>jueves</v>
      </c>
      <c r="K90">
        <f>MONTH(Tabla1[[#This Row],[Date]])</f>
        <v>2</v>
      </c>
    </row>
    <row r="91" spans="1:11" x14ac:dyDescent="0.25">
      <c r="A91" s="5">
        <v>45349</v>
      </c>
      <c r="B91" t="s">
        <v>41</v>
      </c>
      <c r="C91">
        <v>125.9</v>
      </c>
      <c r="E91" t="s">
        <v>97</v>
      </c>
      <c r="F91" t="s">
        <v>91</v>
      </c>
      <c r="G91" t="s">
        <v>70</v>
      </c>
      <c r="H91">
        <f>Tabla1[[#This Row],[Credit]]-Tabla1[[#This Row],[Debit]]</f>
        <v>-125.9</v>
      </c>
      <c r="I91" t="str">
        <f>TEXT(Tabla1[[#This Row],[Date]],"mmmm")</f>
        <v>febrero</v>
      </c>
      <c r="J91" t="str">
        <f>TEXT(DAY(Tabla1[[#This Row],[Date]]),"dddd")</f>
        <v>viernes</v>
      </c>
      <c r="K91">
        <f>MONTH(Tabla1[[#This Row],[Date]])</f>
        <v>2</v>
      </c>
    </row>
    <row r="92" spans="1:11" x14ac:dyDescent="0.25">
      <c r="A92" s="5">
        <v>45349</v>
      </c>
      <c r="B92" t="s">
        <v>43</v>
      </c>
      <c r="C92">
        <v>137</v>
      </c>
      <c r="E92" t="s">
        <v>97</v>
      </c>
      <c r="F92" t="s">
        <v>91</v>
      </c>
      <c r="G92" t="s">
        <v>70</v>
      </c>
      <c r="H92">
        <f>Tabla1[[#This Row],[Credit]]-Tabla1[[#This Row],[Debit]]</f>
        <v>-137</v>
      </c>
      <c r="I92" t="str">
        <f>TEXT(Tabla1[[#This Row],[Date]],"mmmm")</f>
        <v>febrero</v>
      </c>
      <c r="J92" t="str">
        <f>TEXT(DAY(Tabla1[[#This Row],[Date]]),"dddd")</f>
        <v>viernes</v>
      </c>
      <c r="K92">
        <f>MONTH(Tabla1[[#This Row],[Date]])</f>
        <v>2</v>
      </c>
    </row>
    <row r="93" spans="1:11" x14ac:dyDescent="0.25">
      <c r="A93" s="5">
        <v>45350</v>
      </c>
      <c r="B93" t="s">
        <v>24</v>
      </c>
      <c r="C93">
        <v>146.1</v>
      </c>
      <c r="E93" t="s">
        <v>97</v>
      </c>
      <c r="F93" t="s">
        <v>91</v>
      </c>
      <c r="G93" t="s">
        <v>70</v>
      </c>
      <c r="H93">
        <f>Tabla1[[#This Row],[Credit]]-Tabla1[[#This Row],[Debit]]</f>
        <v>-146.1</v>
      </c>
      <c r="I93" t="str">
        <f>TEXT(Tabla1[[#This Row],[Date]],"mmmm")</f>
        <v>febrero</v>
      </c>
      <c r="J93" t="str">
        <f>TEXT(DAY(Tabla1[[#This Row],[Date]]),"dddd")</f>
        <v>sábado</v>
      </c>
      <c r="K93">
        <f>MONTH(Tabla1[[#This Row],[Date]])</f>
        <v>2</v>
      </c>
    </row>
    <row r="94" spans="1:11" x14ac:dyDescent="0.25">
      <c r="A94" s="5">
        <v>45350</v>
      </c>
      <c r="B94" t="s">
        <v>28</v>
      </c>
      <c r="C94">
        <v>24.1</v>
      </c>
      <c r="E94" t="s">
        <v>29</v>
      </c>
      <c r="F94" t="s">
        <v>89</v>
      </c>
      <c r="G94" t="s">
        <v>70</v>
      </c>
      <c r="H94">
        <f>Tabla1[[#This Row],[Credit]]-Tabla1[[#This Row],[Debit]]</f>
        <v>-24.1</v>
      </c>
      <c r="I94" t="str">
        <f>TEXT(Tabla1[[#This Row],[Date]],"mmmm")</f>
        <v>febrero</v>
      </c>
      <c r="J94" t="str">
        <f>TEXT(DAY(Tabla1[[#This Row],[Date]]),"dddd")</f>
        <v>sábado</v>
      </c>
      <c r="K94">
        <f>MONTH(Tabla1[[#This Row],[Date]])</f>
        <v>2</v>
      </c>
    </row>
    <row r="95" spans="1:11" x14ac:dyDescent="0.25">
      <c r="A95" s="5">
        <v>45352</v>
      </c>
      <c r="B95" t="s">
        <v>7</v>
      </c>
      <c r="D95">
        <v>5000</v>
      </c>
      <c r="E95" t="s">
        <v>8</v>
      </c>
      <c r="F95" t="s">
        <v>90</v>
      </c>
      <c r="G95" t="s">
        <v>93</v>
      </c>
      <c r="H95">
        <f>Tabla1[[#This Row],[Credit]]-Tabla1[[#This Row],[Debit]]</f>
        <v>5000</v>
      </c>
      <c r="I95" t="str">
        <f>TEXT(Tabla1[[#This Row],[Date]],"mmmm")</f>
        <v>marzo</v>
      </c>
      <c r="J95" t="str">
        <f>TEXT(DAY(Tabla1[[#This Row],[Date]]),"dddd")</f>
        <v>domingo</v>
      </c>
      <c r="K95">
        <f>MONTH(Tabla1[[#This Row],[Date]])</f>
        <v>3</v>
      </c>
    </row>
    <row r="96" spans="1:11" x14ac:dyDescent="0.25">
      <c r="A96" s="5">
        <v>45352</v>
      </c>
      <c r="B96" t="s">
        <v>10</v>
      </c>
      <c r="C96">
        <v>5</v>
      </c>
      <c r="E96" t="s">
        <v>11</v>
      </c>
      <c r="F96" t="s">
        <v>86</v>
      </c>
      <c r="G96" t="s">
        <v>70</v>
      </c>
      <c r="H96">
        <f>Tabla1[[#This Row],[Credit]]-Tabla1[[#This Row],[Debit]]</f>
        <v>-5</v>
      </c>
      <c r="I96" t="str">
        <f>TEXT(Tabla1[[#This Row],[Date]],"mmmm")</f>
        <v>marzo</v>
      </c>
      <c r="J96" t="str">
        <f>TEXT(DAY(Tabla1[[#This Row],[Date]]),"dddd")</f>
        <v>domingo</v>
      </c>
      <c r="K96">
        <f>MONTH(Tabla1[[#This Row],[Date]])</f>
        <v>3</v>
      </c>
    </row>
    <row r="97" spans="1:11" x14ac:dyDescent="0.25">
      <c r="A97" s="5">
        <v>45353</v>
      </c>
      <c r="B97" t="s">
        <v>13</v>
      </c>
      <c r="C97">
        <v>900</v>
      </c>
      <c r="E97" t="s">
        <v>94</v>
      </c>
      <c r="F97" t="s">
        <v>87</v>
      </c>
      <c r="G97" t="s">
        <v>70</v>
      </c>
      <c r="H97">
        <f>Tabla1[[#This Row],[Credit]]-Tabla1[[#This Row],[Debit]]</f>
        <v>-900</v>
      </c>
      <c r="I97" t="str">
        <f>TEXT(Tabla1[[#This Row],[Date]],"mmmm")</f>
        <v>marzo</v>
      </c>
      <c r="J97" t="str">
        <f>TEXT(DAY(Tabla1[[#This Row],[Date]]),"dddd")</f>
        <v>lunes</v>
      </c>
      <c r="K97">
        <f>MONTH(Tabla1[[#This Row],[Date]])</f>
        <v>3</v>
      </c>
    </row>
    <row r="98" spans="1:11" x14ac:dyDescent="0.25">
      <c r="A98" s="5">
        <v>45353</v>
      </c>
      <c r="B98" t="s">
        <v>15</v>
      </c>
      <c r="C98">
        <v>150</v>
      </c>
      <c r="E98" t="s">
        <v>98</v>
      </c>
      <c r="F98" t="s">
        <v>89</v>
      </c>
      <c r="G98" t="s">
        <v>70</v>
      </c>
      <c r="H98">
        <f>Tabla1[[#This Row],[Credit]]-Tabla1[[#This Row],[Debit]]</f>
        <v>-150</v>
      </c>
      <c r="I98" t="str">
        <f>TEXT(Tabla1[[#This Row],[Date]],"mmmm")</f>
        <v>marzo</v>
      </c>
      <c r="J98" t="str">
        <f>TEXT(DAY(Tabla1[[#This Row],[Date]]),"dddd")</f>
        <v>lunes</v>
      </c>
      <c r="K98">
        <f>MONTH(Tabla1[[#This Row],[Date]])</f>
        <v>3</v>
      </c>
    </row>
    <row r="99" spans="1:11" x14ac:dyDescent="0.25">
      <c r="A99" s="5">
        <v>45353</v>
      </c>
      <c r="B99" t="s">
        <v>10</v>
      </c>
      <c r="C99">
        <v>5</v>
      </c>
      <c r="E99" t="s">
        <v>11</v>
      </c>
      <c r="F99" t="s">
        <v>86</v>
      </c>
      <c r="G99" t="s">
        <v>70</v>
      </c>
      <c r="H99">
        <f>Tabla1[[#This Row],[Credit]]-Tabla1[[#This Row],[Debit]]</f>
        <v>-5</v>
      </c>
      <c r="I99" t="str">
        <f>TEXT(Tabla1[[#This Row],[Date]],"mmmm")</f>
        <v>marzo</v>
      </c>
      <c r="J99" t="str">
        <f>TEXT(DAY(Tabla1[[#This Row],[Date]]),"dddd")</f>
        <v>lunes</v>
      </c>
      <c r="K99">
        <f>MONTH(Tabla1[[#This Row],[Date]])</f>
        <v>3</v>
      </c>
    </row>
    <row r="100" spans="1:11" x14ac:dyDescent="0.25">
      <c r="A100" s="5">
        <v>45354</v>
      </c>
      <c r="B100" t="s">
        <v>10</v>
      </c>
      <c r="C100">
        <v>5</v>
      </c>
      <c r="E100" t="s">
        <v>11</v>
      </c>
      <c r="F100" t="s">
        <v>86</v>
      </c>
      <c r="G100" t="s">
        <v>70</v>
      </c>
      <c r="H100">
        <f>Tabla1[[#This Row],[Credit]]-Tabla1[[#This Row],[Debit]]</f>
        <v>-5</v>
      </c>
      <c r="I100" t="str">
        <f>TEXT(Tabla1[[#This Row],[Date]],"mmmm")</f>
        <v>marzo</v>
      </c>
      <c r="J100" t="str">
        <f>TEXT(DAY(Tabla1[[#This Row],[Date]]),"dddd")</f>
        <v>martes</v>
      </c>
      <c r="K100">
        <f>MONTH(Tabla1[[#This Row],[Date]])</f>
        <v>3</v>
      </c>
    </row>
    <row r="101" spans="1:11" x14ac:dyDescent="0.25">
      <c r="A101" s="5">
        <v>45355</v>
      </c>
      <c r="B101" t="s">
        <v>10</v>
      </c>
      <c r="C101">
        <v>5</v>
      </c>
      <c r="E101" t="s">
        <v>11</v>
      </c>
      <c r="F101" t="s">
        <v>86</v>
      </c>
      <c r="G101" t="s">
        <v>70</v>
      </c>
      <c r="H101">
        <f>Tabla1[[#This Row],[Credit]]-Tabla1[[#This Row],[Debit]]</f>
        <v>-5</v>
      </c>
      <c r="I101" t="str">
        <f>TEXT(Tabla1[[#This Row],[Date]],"mmmm")</f>
        <v>marzo</v>
      </c>
      <c r="J101" t="str">
        <f>TEXT(DAY(Tabla1[[#This Row],[Date]]),"dddd")</f>
        <v>miércoles</v>
      </c>
      <c r="K101">
        <f>MONTH(Tabla1[[#This Row],[Date]])</f>
        <v>3</v>
      </c>
    </row>
    <row r="102" spans="1:11" x14ac:dyDescent="0.25">
      <c r="A102" s="5">
        <v>45356</v>
      </c>
      <c r="B102" t="s">
        <v>10</v>
      </c>
      <c r="C102">
        <v>5</v>
      </c>
      <c r="E102" t="s">
        <v>11</v>
      </c>
      <c r="F102" t="s">
        <v>86</v>
      </c>
      <c r="G102" t="s">
        <v>70</v>
      </c>
      <c r="H102">
        <f>Tabla1[[#This Row],[Credit]]-Tabla1[[#This Row],[Debit]]</f>
        <v>-5</v>
      </c>
      <c r="I102" t="str">
        <f>TEXT(Tabla1[[#This Row],[Date]],"mmmm")</f>
        <v>marzo</v>
      </c>
      <c r="J102" t="str">
        <f>TEXT(DAY(Tabla1[[#This Row],[Date]]),"dddd")</f>
        <v>jueves</v>
      </c>
      <c r="K102">
        <f>MONTH(Tabla1[[#This Row],[Date]])</f>
        <v>3</v>
      </c>
    </row>
    <row r="103" spans="1:11" x14ac:dyDescent="0.25">
      <c r="A103" s="5">
        <v>45356</v>
      </c>
      <c r="B103" t="s">
        <v>17</v>
      </c>
      <c r="C103">
        <v>149</v>
      </c>
      <c r="E103" t="s">
        <v>95</v>
      </c>
      <c r="F103" t="s">
        <v>87</v>
      </c>
      <c r="G103" t="s">
        <v>70</v>
      </c>
      <c r="H103">
        <f>Tabla1[[#This Row],[Credit]]-Tabla1[[#This Row],[Debit]]</f>
        <v>-149</v>
      </c>
      <c r="I103" t="str">
        <f>TEXT(Tabla1[[#This Row],[Date]],"mmmm")</f>
        <v>marzo</v>
      </c>
      <c r="J103" t="str">
        <f>TEXT(DAY(Tabla1[[#This Row],[Date]]),"dddd")</f>
        <v>jueves</v>
      </c>
      <c r="K103">
        <f>MONTH(Tabla1[[#This Row],[Date]])</f>
        <v>3</v>
      </c>
    </row>
    <row r="104" spans="1:11" x14ac:dyDescent="0.25">
      <c r="A104" s="5">
        <v>45359</v>
      </c>
      <c r="B104" t="s">
        <v>19</v>
      </c>
      <c r="C104">
        <v>52.1</v>
      </c>
      <c r="E104" t="s">
        <v>20</v>
      </c>
      <c r="F104" t="s">
        <v>87</v>
      </c>
      <c r="G104" t="s">
        <v>70</v>
      </c>
      <c r="H104">
        <f>Tabla1[[#This Row],[Credit]]-Tabla1[[#This Row],[Debit]]</f>
        <v>-52.1</v>
      </c>
      <c r="I104" t="str">
        <f>TEXT(Tabla1[[#This Row],[Date]],"mmmm")</f>
        <v>marzo</v>
      </c>
      <c r="J104" t="str">
        <f>TEXT(DAY(Tabla1[[#This Row],[Date]]),"dddd")</f>
        <v>domingo</v>
      </c>
      <c r="K104">
        <f>MONTH(Tabla1[[#This Row],[Date]])</f>
        <v>3</v>
      </c>
    </row>
    <row r="105" spans="1:11" x14ac:dyDescent="0.25">
      <c r="A105" s="5">
        <v>45359</v>
      </c>
      <c r="B105" t="s">
        <v>10</v>
      </c>
      <c r="C105">
        <v>5</v>
      </c>
      <c r="E105" t="s">
        <v>11</v>
      </c>
      <c r="F105" t="s">
        <v>86</v>
      </c>
      <c r="G105" t="s">
        <v>70</v>
      </c>
      <c r="H105">
        <f>Tabla1[[#This Row],[Credit]]-Tabla1[[#This Row],[Debit]]</f>
        <v>-5</v>
      </c>
      <c r="I105" t="str">
        <f>TEXT(Tabla1[[#This Row],[Date]],"mmmm")</f>
        <v>marzo</v>
      </c>
      <c r="J105" t="str">
        <f>TEXT(DAY(Tabla1[[#This Row],[Date]]),"dddd")</f>
        <v>domingo</v>
      </c>
      <c r="K105">
        <f>MONTH(Tabla1[[#This Row],[Date]])</f>
        <v>3</v>
      </c>
    </row>
    <row r="106" spans="1:11" x14ac:dyDescent="0.25">
      <c r="A106" s="5">
        <v>45360</v>
      </c>
      <c r="B106" t="s">
        <v>10</v>
      </c>
      <c r="C106">
        <v>5</v>
      </c>
      <c r="E106" t="s">
        <v>11</v>
      </c>
      <c r="F106" t="s">
        <v>86</v>
      </c>
      <c r="G106" t="s">
        <v>70</v>
      </c>
      <c r="H106">
        <f>Tabla1[[#This Row],[Credit]]-Tabla1[[#This Row],[Debit]]</f>
        <v>-5</v>
      </c>
      <c r="I106" t="str">
        <f>TEXT(Tabla1[[#This Row],[Date]],"mmmm")</f>
        <v>marzo</v>
      </c>
      <c r="J106" t="str">
        <f>TEXT(DAY(Tabla1[[#This Row],[Date]]),"dddd")</f>
        <v>lunes</v>
      </c>
      <c r="K106">
        <f>MONTH(Tabla1[[#This Row],[Date]])</f>
        <v>3</v>
      </c>
    </row>
    <row r="107" spans="1:11" x14ac:dyDescent="0.25">
      <c r="A107" s="5">
        <v>45361</v>
      </c>
      <c r="B107" t="s">
        <v>21</v>
      </c>
      <c r="C107">
        <v>78.900000000000006</v>
      </c>
      <c r="E107" t="s">
        <v>96</v>
      </c>
      <c r="F107" t="s">
        <v>89</v>
      </c>
      <c r="G107" t="s">
        <v>70</v>
      </c>
      <c r="H107">
        <f>Tabla1[[#This Row],[Credit]]-Tabla1[[#This Row],[Debit]]</f>
        <v>-78.900000000000006</v>
      </c>
      <c r="I107" t="str">
        <f>TEXT(Tabla1[[#This Row],[Date]],"mmmm")</f>
        <v>marzo</v>
      </c>
      <c r="J107" t="str">
        <f>TEXT(DAY(Tabla1[[#This Row],[Date]]),"dddd")</f>
        <v>martes</v>
      </c>
      <c r="K107">
        <f>MONTH(Tabla1[[#This Row],[Date]])</f>
        <v>3</v>
      </c>
    </row>
    <row r="108" spans="1:11" x14ac:dyDescent="0.25">
      <c r="A108" s="5">
        <v>45361</v>
      </c>
      <c r="B108" t="s">
        <v>10</v>
      </c>
      <c r="C108">
        <v>5</v>
      </c>
      <c r="E108" t="s">
        <v>11</v>
      </c>
      <c r="F108" t="s">
        <v>86</v>
      </c>
      <c r="G108" t="s">
        <v>70</v>
      </c>
      <c r="H108">
        <f>Tabla1[[#This Row],[Credit]]-Tabla1[[#This Row],[Debit]]</f>
        <v>-5</v>
      </c>
      <c r="I108" t="str">
        <f>TEXT(Tabla1[[#This Row],[Date]],"mmmm")</f>
        <v>marzo</v>
      </c>
      <c r="J108" t="str">
        <f>TEXT(DAY(Tabla1[[#This Row],[Date]]),"dddd")</f>
        <v>martes</v>
      </c>
      <c r="K108">
        <f>MONTH(Tabla1[[#This Row],[Date]])</f>
        <v>3</v>
      </c>
    </row>
    <row r="109" spans="1:11" x14ac:dyDescent="0.25">
      <c r="A109" s="5">
        <v>45362</v>
      </c>
      <c r="B109" t="s">
        <v>10</v>
      </c>
      <c r="C109">
        <v>5</v>
      </c>
      <c r="E109" t="s">
        <v>11</v>
      </c>
      <c r="F109" t="s">
        <v>86</v>
      </c>
      <c r="G109" t="s">
        <v>70</v>
      </c>
      <c r="H109">
        <f>Tabla1[[#This Row],[Credit]]-Tabla1[[#This Row],[Debit]]</f>
        <v>-5</v>
      </c>
      <c r="I109" t="str">
        <f>TEXT(Tabla1[[#This Row],[Date]],"mmmm")</f>
        <v>marzo</v>
      </c>
      <c r="J109" t="str">
        <f>TEXT(DAY(Tabla1[[#This Row],[Date]]),"dddd")</f>
        <v>miércoles</v>
      </c>
      <c r="K109">
        <f>MONTH(Tabla1[[#This Row],[Date]])</f>
        <v>3</v>
      </c>
    </row>
    <row r="110" spans="1:11" x14ac:dyDescent="0.25">
      <c r="A110" s="5">
        <v>45363</v>
      </c>
      <c r="B110" t="s">
        <v>17</v>
      </c>
      <c r="C110">
        <v>137</v>
      </c>
      <c r="E110" t="s">
        <v>95</v>
      </c>
      <c r="F110" t="s">
        <v>87</v>
      </c>
      <c r="G110" t="s">
        <v>70</v>
      </c>
      <c r="H110">
        <f>Tabla1[[#This Row],[Credit]]-Tabla1[[#This Row],[Debit]]</f>
        <v>-137</v>
      </c>
      <c r="I110" t="str">
        <f>TEXT(Tabla1[[#This Row],[Date]],"mmmm")</f>
        <v>marzo</v>
      </c>
      <c r="J110" t="str">
        <f>TEXT(DAY(Tabla1[[#This Row],[Date]]),"dddd")</f>
        <v>jueves</v>
      </c>
      <c r="K110">
        <f>MONTH(Tabla1[[#This Row],[Date]])</f>
        <v>3</v>
      </c>
    </row>
    <row r="111" spans="1:11" x14ac:dyDescent="0.25">
      <c r="A111" s="5">
        <v>45363</v>
      </c>
      <c r="B111" t="s">
        <v>10</v>
      </c>
      <c r="C111">
        <v>5</v>
      </c>
      <c r="E111" t="s">
        <v>11</v>
      </c>
      <c r="F111" t="s">
        <v>86</v>
      </c>
      <c r="G111" t="s">
        <v>70</v>
      </c>
      <c r="H111">
        <f>Tabla1[[#This Row],[Credit]]-Tabla1[[#This Row],[Debit]]</f>
        <v>-5</v>
      </c>
      <c r="I111" t="str">
        <f>TEXT(Tabla1[[#This Row],[Date]],"mmmm")</f>
        <v>marzo</v>
      </c>
      <c r="J111" t="str">
        <f>TEXT(DAY(Tabla1[[#This Row],[Date]]),"dddd")</f>
        <v>jueves</v>
      </c>
      <c r="K111">
        <f>MONTH(Tabla1[[#This Row],[Date]])</f>
        <v>3</v>
      </c>
    </row>
    <row r="112" spans="1:11" x14ac:dyDescent="0.25">
      <c r="A112" s="5">
        <v>45364</v>
      </c>
      <c r="B112" t="s">
        <v>10</v>
      </c>
      <c r="C112">
        <v>5</v>
      </c>
      <c r="E112" t="s">
        <v>11</v>
      </c>
      <c r="F112" t="s">
        <v>86</v>
      </c>
      <c r="G112" t="s">
        <v>70</v>
      </c>
      <c r="H112">
        <f>Tabla1[[#This Row],[Credit]]-Tabla1[[#This Row],[Debit]]</f>
        <v>-5</v>
      </c>
      <c r="I112" t="str">
        <f>TEXT(Tabla1[[#This Row],[Date]],"mmmm")</f>
        <v>marzo</v>
      </c>
      <c r="J112" t="str">
        <f>TEXT(DAY(Tabla1[[#This Row],[Date]]),"dddd")</f>
        <v>viernes</v>
      </c>
      <c r="K112">
        <f>MONTH(Tabla1[[#This Row],[Date]])</f>
        <v>3</v>
      </c>
    </row>
    <row r="113" spans="1:11" x14ac:dyDescent="0.25">
      <c r="A113" s="5">
        <v>45364</v>
      </c>
      <c r="B113" t="s">
        <v>22</v>
      </c>
      <c r="C113">
        <v>41.8</v>
      </c>
      <c r="E113" t="s">
        <v>23</v>
      </c>
      <c r="F113" t="s">
        <v>91</v>
      </c>
      <c r="G113" t="s">
        <v>70</v>
      </c>
      <c r="H113">
        <f>Tabla1[[#This Row],[Credit]]-Tabla1[[#This Row],[Debit]]</f>
        <v>-41.8</v>
      </c>
      <c r="I113" t="str">
        <f>TEXT(Tabla1[[#This Row],[Date]],"mmmm")</f>
        <v>marzo</v>
      </c>
      <c r="J113" t="str">
        <f>TEXT(DAY(Tabla1[[#This Row],[Date]]),"dddd")</f>
        <v>viernes</v>
      </c>
      <c r="K113">
        <f>MONTH(Tabla1[[#This Row],[Date]])</f>
        <v>3</v>
      </c>
    </row>
    <row r="114" spans="1:11" x14ac:dyDescent="0.25">
      <c r="A114" s="5">
        <v>45364</v>
      </c>
      <c r="B114" t="s">
        <v>24</v>
      </c>
      <c r="C114">
        <v>99.9</v>
      </c>
      <c r="E114" t="s">
        <v>97</v>
      </c>
      <c r="F114" t="s">
        <v>91</v>
      </c>
      <c r="G114" t="s">
        <v>70</v>
      </c>
      <c r="H114">
        <f>Tabla1[[#This Row],[Credit]]-Tabla1[[#This Row],[Debit]]</f>
        <v>-99.9</v>
      </c>
      <c r="I114" t="str">
        <f>TEXT(Tabla1[[#This Row],[Date]],"mmmm")</f>
        <v>marzo</v>
      </c>
      <c r="J114" t="str">
        <f>TEXT(DAY(Tabla1[[#This Row],[Date]]),"dddd")</f>
        <v>viernes</v>
      </c>
      <c r="K114">
        <f>MONTH(Tabla1[[#This Row],[Date]])</f>
        <v>3</v>
      </c>
    </row>
    <row r="115" spans="1:11" x14ac:dyDescent="0.25">
      <c r="A115" s="5">
        <v>45364</v>
      </c>
      <c r="B115" t="s">
        <v>26</v>
      </c>
      <c r="C115">
        <v>54</v>
      </c>
      <c r="E115" t="s">
        <v>27</v>
      </c>
      <c r="F115" t="s">
        <v>86</v>
      </c>
      <c r="G115" t="s">
        <v>70</v>
      </c>
      <c r="H115">
        <f>Tabla1[[#This Row],[Credit]]-Tabla1[[#This Row],[Debit]]</f>
        <v>-54</v>
      </c>
      <c r="I115" t="str">
        <f>TEXT(Tabla1[[#This Row],[Date]],"mmmm")</f>
        <v>marzo</v>
      </c>
      <c r="J115" t="str">
        <f>TEXT(DAY(Tabla1[[#This Row],[Date]]),"dddd")</f>
        <v>viernes</v>
      </c>
      <c r="K115">
        <f>MONTH(Tabla1[[#This Row],[Date]])</f>
        <v>3</v>
      </c>
    </row>
    <row r="116" spans="1:11" x14ac:dyDescent="0.25">
      <c r="A116" s="5">
        <v>45365</v>
      </c>
      <c r="B116" t="s">
        <v>28</v>
      </c>
      <c r="C116">
        <v>30</v>
      </c>
      <c r="E116" t="s">
        <v>29</v>
      </c>
      <c r="F116" t="s">
        <v>89</v>
      </c>
      <c r="G116" t="s">
        <v>70</v>
      </c>
      <c r="H116">
        <f>Tabla1[[#This Row],[Credit]]-Tabla1[[#This Row],[Debit]]</f>
        <v>-30</v>
      </c>
      <c r="I116" t="str">
        <f>TEXT(Tabla1[[#This Row],[Date]],"mmmm")</f>
        <v>marzo</v>
      </c>
      <c r="J116" t="str">
        <f>TEXT(DAY(Tabla1[[#This Row],[Date]]),"dddd")</f>
        <v>sábado</v>
      </c>
      <c r="K116">
        <f>MONTH(Tabla1[[#This Row],[Date]])</f>
        <v>3</v>
      </c>
    </row>
    <row r="117" spans="1:11" x14ac:dyDescent="0.25">
      <c r="A117" s="5">
        <v>45366</v>
      </c>
      <c r="B117" t="s">
        <v>30</v>
      </c>
      <c r="D117">
        <v>1000</v>
      </c>
      <c r="E117" t="s">
        <v>31</v>
      </c>
      <c r="F117" t="s">
        <v>92</v>
      </c>
      <c r="G117" t="s">
        <v>93</v>
      </c>
      <c r="H117">
        <f>Tabla1[[#This Row],[Credit]]-Tabla1[[#This Row],[Debit]]</f>
        <v>1000</v>
      </c>
      <c r="I117" t="str">
        <f>TEXT(Tabla1[[#This Row],[Date]],"mmmm")</f>
        <v>marzo</v>
      </c>
      <c r="J117" t="str">
        <f>TEXT(DAY(Tabla1[[#This Row],[Date]]),"dddd")</f>
        <v>domingo</v>
      </c>
      <c r="K117">
        <f>MONTH(Tabla1[[#This Row],[Date]])</f>
        <v>3</v>
      </c>
    </row>
    <row r="118" spans="1:11" x14ac:dyDescent="0.25">
      <c r="A118" s="5">
        <v>45366</v>
      </c>
      <c r="B118" t="s">
        <v>10</v>
      </c>
      <c r="C118">
        <v>5</v>
      </c>
      <c r="E118" t="s">
        <v>11</v>
      </c>
      <c r="F118" t="s">
        <v>86</v>
      </c>
      <c r="G118" t="s">
        <v>70</v>
      </c>
      <c r="H118">
        <f>Tabla1[[#This Row],[Credit]]-Tabla1[[#This Row],[Debit]]</f>
        <v>-5</v>
      </c>
      <c r="I118" t="str">
        <f>TEXT(Tabla1[[#This Row],[Date]],"mmmm")</f>
        <v>marzo</v>
      </c>
      <c r="J118" t="str">
        <f>TEXT(DAY(Tabla1[[#This Row],[Date]]),"dddd")</f>
        <v>domingo</v>
      </c>
      <c r="K118">
        <f>MONTH(Tabla1[[#This Row],[Date]])</f>
        <v>3</v>
      </c>
    </row>
    <row r="119" spans="1:11" x14ac:dyDescent="0.25">
      <c r="A119" s="5">
        <v>45367</v>
      </c>
      <c r="B119" t="s">
        <v>10</v>
      </c>
      <c r="C119">
        <v>5</v>
      </c>
      <c r="E119" t="s">
        <v>11</v>
      </c>
      <c r="F119" t="s">
        <v>86</v>
      </c>
      <c r="G119" t="s">
        <v>70</v>
      </c>
      <c r="H119">
        <f>Tabla1[[#This Row],[Credit]]-Tabla1[[#This Row],[Debit]]</f>
        <v>-5</v>
      </c>
      <c r="I119" t="str">
        <f>TEXT(Tabla1[[#This Row],[Date]],"mmmm")</f>
        <v>marzo</v>
      </c>
      <c r="J119" t="str">
        <f>TEXT(DAY(Tabla1[[#This Row],[Date]]),"dddd")</f>
        <v>lunes</v>
      </c>
      <c r="K119">
        <f>MONTH(Tabla1[[#This Row],[Date]])</f>
        <v>3</v>
      </c>
    </row>
    <row r="120" spans="1:11" x14ac:dyDescent="0.25">
      <c r="A120" s="5">
        <v>45367</v>
      </c>
      <c r="B120" t="s">
        <v>44</v>
      </c>
      <c r="C120">
        <v>75</v>
      </c>
      <c r="E120" t="s">
        <v>45</v>
      </c>
      <c r="F120" t="s">
        <v>88</v>
      </c>
      <c r="G120" t="s">
        <v>70</v>
      </c>
      <c r="H120">
        <f>Tabla1[[#This Row],[Credit]]-Tabla1[[#This Row],[Debit]]</f>
        <v>-75</v>
      </c>
      <c r="I120" t="str">
        <f>TEXT(Tabla1[[#This Row],[Date]],"mmmm")</f>
        <v>marzo</v>
      </c>
      <c r="J120" t="str">
        <f>TEXT(DAY(Tabla1[[#This Row],[Date]]),"dddd")</f>
        <v>lunes</v>
      </c>
      <c r="K120">
        <f>MONTH(Tabla1[[#This Row],[Date]])</f>
        <v>3</v>
      </c>
    </row>
    <row r="121" spans="1:11" x14ac:dyDescent="0.25">
      <c r="A121" s="5">
        <v>45367</v>
      </c>
      <c r="B121" t="s">
        <v>33</v>
      </c>
      <c r="C121">
        <v>40</v>
      </c>
      <c r="E121" t="s">
        <v>33</v>
      </c>
      <c r="F121" t="s">
        <v>87</v>
      </c>
      <c r="G121" t="s">
        <v>70</v>
      </c>
      <c r="H121">
        <f>Tabla1[[#This Row],[Credit]]-Tabla1[[#This Row],[Debit]]</f>
        <v>-40</v>
      </c>
      <c r="I121" t="str">
        <f>TEXT(Tabla1[[#This Row],[Date]],"mmmm")</f>
        <v>marzo</v>
      </c>
      <c r="J121" t="str">
        <f>TEXT(DAY(Tabla1[[#This Row],[Date]]),"dddd")</f>
        <v>lunes</v>
      </c>
      <c r="K121">
        <f>MONTH(Tabla1[[#This Row],[Date]])</f>
        <v>3</v>
      </c>
    </row>
    <row r="122" spans="1:11" x14ac:dyDescent="0.25">
      <c r="A122" s="5">
        <v>45368</v>
      </c>
      <c r="B122" t="s">
        <v>34</v>
      </c>
      <c r="C122">
        <v>46.8</v>
      </c>
      <c r="E122" t="s">
        <v>35</v>
      </c>
      <c r="F122" t="s">
        <v>91</v>
      </c>
      <c r="G122" t="s">
        <v>70</v>
      </c>
      <c r="H122">
        <f>Tabla1[[#This Row],[Credit]]-Tabla1[[#This Row],[Debit]]</f>
        <v>-46.8</v>
      </c>
      <c r="I122" t="str">
        <f>TEXT(Tabla1[[#This Row],[Date]],"mmmm")</f>
        <v>marzo</v>
      </c>
      <c r="J122" t="str">
        <f>TEXT(DAY(Tabla1[[#This Row],[Date]]),"dddd")</f>
        <v>martes</v>
      </c>
      <c r="K122">
        <f>MONTH(Tabla1[[#This Row],[Date]])</f>
        <v>3</v>
      </c>
    </row>
    <row r="123" spans="1:11" x14ac:dyDescent="0.25">
      <c r="A123" s="5">
        <v>45368</v>
      </c>
      <c r="B123" t="s">
        <v>36</v>
      </c>
      <c r="C123">
        <v>35</v>
      </c>
      <c r="E123" t="s">
        <v>23</v>
      </c>
      <c r="F123" t="s">
        <v>91</v>
      </c>
      <c r="G123" t="s">
        <v>70</v>
      </c>
      <c r="H123">
        <f>Tabla1[[#This Row],[Credit]]-Tabla1[[#This Row],[Debit]]</f>
        <v>-35</v>
      </c>
      <c r="I123" t="str">
        <f>TEXT(Tabla1[[#This Row],[Date]],"mmmm")</f>
        <v>marzo</v>
      </c>
      <c r="J123" t="str">
        <f>TEXT(DAY(Tabla1[[#This Row],[Date]]),"dddd")</f>
        <v>martes</v>
      </c>
      <c r="K123">
        <f>MONTH(Tabla1[[#This Row],[Date]])</f>
        <v>3</v>
      </c>
    </row>
    <row r="124" spans="1:11" x14ac:dyDescent="0.25">
      <c r="A124" s="5">
        <v>45368</v>
      </c>
      <c r="B124" t="s">
        <v>10</v>
      </c>
      <c r="C124">
        <v>5</v>
      </c>
      <c r="E124" t="s">
        <v>11</v>
      </c>
      <c r="F124" t="s">
        <v>86</v>
      </c>
      <c r="G124" t="s">
        <v>70</v>
      </c>
      <c r="H124">
        <f>Tabla1[[#This Row],[Credit]]-Tabla1[[#This Row],[Debit]]</f>
        <v>-5</v>
      </c>
      <c r="I124" t="str">
        <f>TEXT(Tabla1[[#This Row],[Date]],"mmmm")</f>
        <v>marzo</v>
      </c>
      <c r="J124" t="str">
        <f>TEXT(DAY(Tabla1[[#This Row],[Date]]),"dddd")</f>
        <v>martes</v>
      </c>
      <c r="K124">
        <f>MONTH(Tabla1[[#This Row],[Date]])</f>
        <v>3</v>
      </c>
    </row>
    <row r="125" spans="1:11" x14ac:dyDescent="0.25">
      <c r="A125" s="5">
        <v>45369</v>
      </c>
      <c r="B125" t="s">
        <v>10</v>
      </c>
      <c r="C125">
        <v>5</v>
      </c>
      <c r="E125" t="s">
        <v>11</v>
      </c>
      <c r="F125" t="s">
        <v>86</v>
      </c>
      <c r="G125" t="s">
        <v>70</v>
      </c>
      <c r="H125">
        <f>Tabla1[[#This Row],[Credit]]-Tabla1[[#This Row],[Debit]]</f>
        <v>-5</v>
      </c>
      <c r="I125" t="str">
        <f>TEXT(Tabla1[[#This Row],[Date]],"mmmm")</f>
        <v>marzo</v>
      </c>
      <c r="J125" t="str">
        <f>TEXT(DAY(Tabla1[[#This Row],[Date]]),"dddd")</f>
        <v>miércoles</v>
      </c>
      <c r="K125">
        <f>MONTH(Tabla1[[#This Row],[Date]])</f>
        <v>3</v>
      </c>
    </row>
    <row r="126" spans="1:11" x14ac:dyDescent="0.25">
      <c r="A126" s="5">
        <v>45370</v>
      </c>
      <c r="B126" t="s">
        <v>10</v>
      </c>
      <c r="C126">
        <v>5</v>
      </c>
      <c r="E126" t="s">
        <v>11</v>
      </c>
      <c r="F126" t="s">
        <v>86</v>
      </c>
      <c r="G126" t="s">
        <v>70</v>
      </c>
      <c r="H126">
        <f>Tabla1[[#This Row],[Credit]]-Tabla1[[#This Row],[Debit]]</f>
        <v>-5</v>
      </c>
      <c r="I126" t="str">
        <f>TEXT(Tabla1[[#This Row],[Date]],"mmmm")</f>
        <v>marzo</v>
      </c>
      <c r="J126" t="str">
        <f>TEXT(DAY(Tabla1[[#This Row],[Date]]),"dddd")</f>
        <v>jueves</v>
      </c>
      <c r="K126">
        <f>MONTH(Tabla1[[#This Row],[Date]])</f>
        <v>3</v>
      </c>
    </row>
    <row r="127" spans="1:11" x14ac:dyDescent="0.25">
      <c r="A127" s="5">
        <v>45370</v>
      </c>
      <c r="B127" t="s">
        <v>17</v>
      </c>
      <c r="C127">
        <v>171.9</v>
      </c>
      <c r="E127" t="s">
        <v>95</v>
      </c>
      <c r="F127" t="s">
        <v>87</v>
      </c>
      <c r="G127" t="s">
        <v>70</v>
      </c>
      <c r="H127">
        <f>Tabla1[[#This Row],[Credit]]-Tabla1[[#This Row],[Debit]]</f>
        <v>-171.9</v>
      </c>
      <c r="I127" t="str">
        <f>TEXT(Tabla1[[#This Row],[Date]],"mmmm")</f>
        <v>marzo</v>
      </c>
      <c r="J127" t="str">
        <f>TEXT(DAY(Tabla1[[#This Row],[Date]]),"dddd")</f>
        <v>jueves</v>
      </c>
      <c r="K127">
        <f>MONTH(Tabla1[[#This Row],[Date]])</f>
        <v>3</v>
      </c>
    </row>
    <row r="128" spans="1:11" x14ac:dyDescent="0.25">
      <c r="A128" s="5">
        <v>45371</v>
      </c>
      <c r="B128" t="s">
        <v>37</v>
      </c>
      <c r="C128">
        <v>39</v>
      </c>
      <c r="E128" t="s">
        <v>27</v>
      </c>
      <c r="F128" t="s">
        <v>86</v>
      </c>
      <c r="G128" t="s">
        <v>70</v>
      </c>
      <c r="H128">
        <f>Tabla1[[#This Row],[Credit]]-Tabla1[[#This Row],[Debit]]</f>
        <v>-39</v>
      </c>
      <c r="I128" t="str">
        <f>TEXT(Tabla1[[#This Row],[Date]],"mmmm")</f>
        <v>marzo</v>
      </c>
      <c r="J128" t="str">
        <f>TEXT(DAY(Tabla1[[#This Row],[Date]]),"dddd")</f>
        <v>viernes</v>
      </c>
      <c r="K128">
        <f>MONTH(Tabla1[[#This Row],[Date]])</f>
        <v>3</v>
      </c>
    </row>
    <row r="129" spans="1:11" x14ac:dyDescent="0.25">
      <c r="A129" s="5">
        <v>45372</v>
      </c>
      <c r="B129" t="s">
        <v>38</v>
      </c>
      <c r="C129">
        <v>14</v>
      </c>
      <c r="E129" t="s">
        <v>27</v>
      </c>
      <c r="F129" t="s">
        <v>86</v>
      </c>
      <c r="G129" t="s">
        <v>70</v>
      </c>
      <c r="H129">
        <f>Tabla1[[#This Row],[Credit]]-Tabla1[[#This Row],[Debit]]</f>
        <v>-14</v>
      </c>
      <c r="I129" t="str">
        <f>TEXT(Tabla1[[#This Row],[Date]],"mmmm")</f>
        <v>marzo</v>
      </c>
      <c r="J129" t="str">
        <f>TEXT(DAY(Tabla1[[#This Row],[Date]]),"dddd")</f>
        <v>sábado</v>
      </c>
      <c r="K129">
        <f>MONTH(Tabla1[[#This Row],[Date]])</f>
        <v>3</v>
      </c>
    </row>
    <row r="130" spans="1:11" x14ac:dyDescent="0.25">
      <c r="A130" s="5">
        <v>45373</v>
      </c>
      <c r="B130" t="s">
        <v>39</v>
      </c>
      <c r="C130">
        <v>55</v>
      </c>
      <c r="E130" t="s">
        <v>40</v>
      </c>
      <c r="F130" t="s">
        <v>85</v>
      </c>
      <c r="G130" t="s">
        <v>70</v>
      </c>
      <c r="H130">
        <f>Tabla1[[#This Row],[Credit]]-Tabla1[[#This Row],[Debit]]</f>
        <v>-55</v>
      </c>
      <c r="I130" t="str">
        <f>TEXT(Tabla1[[#This Row],[Date]],"mmmm")</f>
        <v>marzo</v>
      </c>
      <c r="J130" t="str">
        <f>TEXT(DAY(Tabla1[[#This Row],[Date]]),"dddd")</f>
        <v>domingo</v>
      </c>
      <c r="K130">
        <f>MONTH(Tabla1[[#This Row],[Date]])</f>
        <v>3</v>
      </c>
    </row>
    <row r="131" spans="1:11" x14ac:dyDescent="0.25">
      <c r="A131" s="5">
        <v>45373</v>
      </c>
      <c r="B131" t="s">
        <v>21</v>
      </c>
      <c r="C131">
        <v>65</v>
      </c>
      <c r="E131" t="s">
        <v>96</v>
      </c>
      <c r="F131" t="s">
        <v>89</v>
      </c>
      <c r="G131" t="s">
        <v>70</v>
      </c>
      <c r="H131">
        <f>Tabla1[[#This Row],[Credit]]-Tabla1[[#This Row],[Debit]]</f>
        <v>-65</v>
      </c>
      <c r="I131" t="str">
        <f>TEXT(Tabla1[[#This Row],[Date]],"mmmm")</f>
        <v>marzo</v>
      </c>
      <c r="J131" t="str">
        <f>TEXT(DAY(Tabla1[[#This Row],[Date]]),"dddd")</f>
        <v>domingo</v>
      </c>
      <c r="K131">
        <f>MONTH(Tabla1[[#This Row],[Date]])</f>
        <v>3</v>
      </c>
    </row>
    <row r="132" spans="1:11" x14ac:dyDescent="0.25">
      <c r="A132" s="5">
        <v>45373</v>
      </c>
      <c r="B132" t="s">
        <v>10</v>
      </c>
      <c r="C132">
        <v>5</v>
      </c>
      <c r="E132" t="s">
        <v>11</v>
      </c>
      <c r="F132" t="s">
        <v>86</v>
      </c>
      <c r="G132" t="s">
        <v>70</v>
      </c>
      <c r="H132">
        <f>Tabla1[[#This Row],[Credit]]-Tabla1[[#This Row],[Debit]]</f>
        <v>-5</v>
      </c>
      <c r="I132" t="str">
        <f>TEXT(Tabla1[[#This Row],[Date]],"mmmm")</f>
        <v>marzo</v>
      </c>
      <c r="J132" t="str">
        <f>TEXT(DAY(Tabla1[[#This Row],[Date]]),"dddd")</f>
        <v>domingo</v>
      </c>
      <c r="K132">
        <f>MONTH(Tabla1[[#This Row],[Date]])</f>
        <v>3</v>
      </c>
    </row>
    <row r="133" spans="1:11" x14ac:dyDescent="0.25">
      <c r="A133" s="5">
        <v>45374</v>
      </c>
      <c r="B133" t="s">
        <v>10</v>
      </c>
      <c r="C133">
        <v>5</v>
      </c>
      <c r="E133" t="s">
        <v>11</v>
      </c>
      <c r="F133" t="s">
        <v>86</v>
      </c>
      <c r="G133" t="s">
        <v>70</v>
      </c>
      <c r="H133">
        <f>Tabla1[[#This Row],[Credit]]-Tabla1[[#This Row],[Debit]]</f>
        <v>-5</v>
      </c>
      <c r="I133" t="str">
        <f>TEXT(Tabla1[[#This Row],[Date]],"mmmm")</f>
        <v>marzo</v>
      </c>
      <c r="J133" t="str">
        <f>TEXT(DAY(Tabla1[[#This Row],[Date]]),"dddd")</f>
        <v>lunes</v>
      </c>
      <c r="K133">
        <f>MONTH(Tabla1[[#This Row],[Date]])</f>
        <v>3</v>
      </c>
    </row>
    <row r="134" spans="1:11" x14ac:dyDescent="0.25">
      <c r="A134" s="5">
        <v>45375</v>
      </c>
      <c r="B134" t="s">
        <v>10</v>
      </c>
      <c r="C134">
        <v>5</v>
      </c>
      <c r="E134" t="s">
        <v>11</v>
      </c>
      <c r="F134" t="s">
        <v>86</v>
      </c>
      <c r="G134" t="s">
        <v>70</v>
      </c>
      <c r="H134">
        <f>Tabla1[[#This Row],[Credit]]-Tabla1[[#This Row],[Debit]]</f>
        <v>-5</v>
      </c>
      <c r="I134" t="str">
        <f>TEXT(Tabla1[[#This Row],[Date]],"mmmm")</f>
        <v>marzo</v>
      </c>
      <c r="J134" t="str">
        <f>TEXT(DAY(Tabla1[[#This Row],[Date]]),"dddd")</f>
        <v>martes</v>
      </c>
      <c r="K134">
        <f>MONTH(Tabla1[[#This Row],[Date]])</f>
        <v>3</v>
      </c>
    </row>
    <row r="135" spans="1:11" x14ac:dyDescent="0.25">
      <c r="A135" s="5">
        <v>45376</v>
      </c>
      <c r="B135" t="s">
        <v>10</v>
      </c>
      <c r="C135">
        <v>5</v>
      </c>
      <c r="E135" t="s">
        <v>11</v>
      </c>
      <c r="F135" t="s">
        <v>86</v>
      </c>
      <c r="G135" t="s">
        <v>70</v>
      </c>
      <c r="H135">
        <f>Tabla1[[#This Row],[Credit]]-Tabla1[[#This Row],[Debit]]</f>
        <v>-5</v>
      </c>
      <c r="I135" t="str">
        <f>TEXT(Tabla1[[#This Row],[Date]],"mmmm")</f>
        <v>marzo</v>
      </c>
      <c r="J135" t="str">
        <f>TEXT(DAY(Tabla1[[#This Row],[Date]]),"dddd")</f>
        <v>miércoles</v>
      </c>
      <c r="K135">
        <f>MONTH(Tabla1[[#This Row],[Date]])</f>
        <v>3</v>
      </c>
    </row>
    <row r="136" spans="1:11" x14ac:dyDescent="0.25">
      <c r="A136" s="5">
        <v>45377</v>
      </c>
      <c r="B136" t="s">
        <v>10</v>
      </c>
      <c r="C136">
        <v>5</v>
      </c>
      <c r="E136" t="s">
        <v>11</v>
      </c>
      <c r="F136" t="s">
        <v>86</v>
      </c>
      <c r="G136" t="s">
        <v>70</v>
      </c>
      <c r="H136">
        <f>Tabla1[[#This Row],[Credit]]-Tabla1[[#This Row],[Debit]]</f>
        <v>-5</v>
      </c>
      <c r="I136" t="str">
        <f>TEXT(Tabla1[[#This Row],[Date]],"mmmm")</f>
        <v>marzo</v>
      </c>
      <c r="J136" t="str">
        <f>TEXT(DAY(Tabla1[[#This Row],[Date]]),"dddd")</f>
        <v>jueves</v>
      </c>
      <c r="K136">
        <f>MONTH(Tabla1[[#This Row],[Date]])</f>
        <v>3</v>
      </c>
    </row>
    <row r="137" spans="1:11" x14ac:dyDescent="0.25">
      <c r="A137" s="5">
        <v>45377</v>
      </c>
      <c r="B137" t="s">
        <v>17</v>
      </c>
      <c r="C137">
        <v>209</v>
      </c>
      <c r="E137" t="s">
        <v>95</v>
      </c>
      <c r="F137" t="s">
        <v>87</v>
      </c>
      <c r="G137" t="s">
        <v>70</v>
      </c>
      <c r="H137">
        <f>Tabla1[[#This Row],[Credit]]-Tabla1[[#This Row],[Debit]]</f>
        <v>-209</v>
      </c>
      <c r="I137" t="str">
        <f>TEXT(Tabla1[[#This Row],[Date]],"mmmm")</f>
        <v>marzo</v>
      </c>
      <c r="J137" t="str">
        <f>TEXT(DAY(Tabla1[[#This Row],[Date]]),"dddd")</f>
        <v>jueves</v>
      </c>
      <c r="K137">
        <f>MONTH(Tabla1[[#This Row],[Date]])</f>
        <v>3</v>
      </c>
    </row>
    <row r="138" spans="1:11" x14ac:dyDescent="0.25">
      <c r="A138" s="5">
        <v>45378</v>
      </c>
      <c r="B138" t="s">
        <v>41</v>
      </c>
      <c r="C138">
        <v>127</v>
      </c>
      <c r="E138" t="s">
        <v>97</v>
      </c>
      <c r="F138" t="s">
        <v>91</v>
      </c>
      <c r="G138" t="s">
        <v>70</v>
      </c>
      <c r="H138">
        <f>Tabla1[[#This Row],[Credit]]-Tabla1[[#This Row],[Debit]]</f>
        <v>-127</v>
      </c>
      <c r="I138" t="str">
        <f>TEXT(Tabla1[[#This Row],[Date]],"mmmm")</f>
        <v>marzo</v>
      </c>
      <c r="J138" t="str">
        <f>TEXT(DAY(Tabla1[[#This Row],[Date]]),"dddd")</f>
        <v>viernes</v>
      </c>
      <c r="K138">
        <f>MONTH(Tabla1[[#This Row],[Date]])</f>
        <v>3</v>
      </c>
    </row>
    <row r="139" spans="1:11" x14ac:dyDescent="0.25">
      <c r="A139" s="5">
        <v>45378</v>
      </c>
      <c r="B139" t="s">
        <v>46</v>
      </c>
      <c r="C139">
        <v>177.2</v>
      </c>
      <c r="E139" t="s">
        <v>97</v>
      </c>
      <c r="F139" t="s">
        <v>91</v>
      </c>
      <c r="G139" t="s">
        <v>70</v>
      </c>
      <c r="H139">
        <f>Tabla1[[#This Row],[Credit]]-Tabla1[[#This Row],[Debit]]</f>
        <v>-177.2</v>
      </c>
      <c r="I139" t="str">
        <f>TEXT(Tabla1[[#This Row],[Date]],"mmmm")</f>
        <v>marzo</v>
      </c>
      <c r="J139" t="str">
        <f>TEXT(DAY(Tabla1[[#This Row],[Date]]),"dddd")</f>
        <v>viernes</v>
      </c>
      <c r="K139">
        <f>MONTH(Tabla1[[#This Row],[Date]])</f>
        <v>3</v>
      </c>
    </row>
    <row r="140" spans="1:11" x14ac:dyDescent="0.25">
      <c r="A140" s="5">
        <v>45379</v>
      </c>
      <c r="B140" t="s">
        <v>24</v>
      </c>
      <c r="C140">
        <v>147.1</v>
      </c>
      <c r="E140" t="s">
        <v>97</v>
      </c>
      <c r="F140" t="s">
        <v>91</v>
      </c>
      <c r="G140" t="s">
        <v>70</v>
      </c>
      <c r="H140">
        <f>Tabla1[[#This Row],[Credit]]-Tabla1[[#This Row],[Debit]]</f>
        <v>-147.1</v>
      </c>
      <c r="I140" t="str">
        <f>TEXT(Tabla1[[#This Row],[Date]],"mmmm")</f>
        <v>marzo</v>
      </c>
      <c r="J140" t="str">
        <f>TEXT(DAY(Tabla1[[#This Row],[Date]]),"dddd")</f>
        <v>sábado</v>
      </c>
      <c r="K140">
        <f>MONTH(Tabla1[[#This Row],[Date]])</f>
        <v>3</v>
      </c>
    </row>
    <row r="141" spans="1:11" x14ac:dyDescent="0.25">
      <c r="A141" s="5">
        <v>45379</v>
      </c>
      <c r="B141" t="s">
        <v>28</v>
      </c>
      <c r="C141">
        <v>25</v>
      </c>
      <c r="E141" t="s">
        <v>29</v>
      </c>
      <c r="F141" t="s">
        <v>89</v>
      </c>
      <c r="G141" t="s">
        <v>70</v>
      </c>
      <c r="H141">
        <f>Tabla1[[#This Row],[Credit]]-Tabla1[[#This Row],[Debit]]</f>
        <v>-25</v>
      </c>
      <c r="I141" t="str">
        <f>TEXT(Tabla1[[#This Row],[Date]],"mmmm")</f>
        <v>marzo</v>
      </c>
      <c r="J141" t="str">
        <f>TEXT(DAY(Tabla1[[#This Row],[Date]]),"dddd")</f>
        <v>sábado</v>
      </c>
      <c r="K141">
        <f>MONTH(Tabla1[[#This Row],[Date]])</f>
        <v>3</v>
      </c>
    </row>
    <row r="142" spans="1:11" x14ac:dyDescent="0.25">
      <c r="A142" s="5">
        <v>45380</v>
      </c>
      <c r="B142" t="s">
        <v>47</v>
      </c>
      <c r="C142">
        <v>15</v>
      </c>
      <c r="E142" t="s">
        <v>27</v>
      </c>
      <c r="F142" t="s">
        <v>86</v>
      </c>
      <c r="G142" t="s">
        <v>70</v>
      </c>
      <c r="H142">
        <f>Tabla1[[#This Row],[Credit]]-Tabla1[[#This Row],[Debit]]</f>
        <v>-15</v>
      </c>
      <c r="I142" t="str">
        <f>TEXT(Tabla1[[#This Row],[Date]],"mmmm")</f>
        <v>marzo</v>
      </c>
      <c r="J142" t="str">
        <f>TEXT(DAY(Tabla1[[#This Row],[Date]]),"dddd")</f>
        <v>domingo</v>
      </c>
      <c r="K142">
        <f>MONTH(Tabla1[[#This Row],[Date]])</f>
        <v>3</v>
      </c>
    </row>
    <row r="143" spans="1:11" x14ac:dyDescent="0.25">
      <c r="A143" s="5">
        <v>45381</v>
      </c>
      <c r="B143" t="s">
        <v>10</v>
      </c>
      <c r="C143">
        <v>5</v>
      </c>
      <c r="E143" t="s">
        <v>11</v>
      </c>
      <c r="F143" t="s">
        <v>86</v>
      </c>
      <c r="G143" t="s">
        <v>70</v>
      </c>
      <c r="H143">
        <f>Tabla1[[#This Row],[Credit]]-Tabla1[[#This Row],[Debit]]</f>
        <v>-5</v>
      </c>
      <c r="I143" t="str">
        <f>TEXT(Tabla1[[#This Row],[Date]],"mmmm")</f>
        <v>marzo</v>
      </c>
      <c r="J143" t="str">
        <f>TEXT(DAY(Tabla1[[#This Row],[Date]]),"dddd")</f>
        <v>lunes</v>
      </c>
      <c r="K143">
        <f>MONTH(Tabla1[[#This Row],[Date]])</f>
        <v>3</v>
      </c>
    </row>
    <row r="144" spans="1:11" x14ac:dyDescent="0.25">
      <c r="A144" s="5">
        <v>45382</v>
      </c>
      <c r="B144" t="s">
        <v>10</v>
      </c>
      <c r="C144">
        <v>5</v>
      </c>
      <c r="E144" t="s">
        <v>11</v>
      </c>
      <c r="F144" t="s">
        <v>86</v>
      </c>
      <c r="G144" t="s">
        <v>70</v>
      </c>
      <c r="H144">
        <f>Tabla1[[#This Row],[Credit]]-Tabla1[[#This Row],[Debit]]</f>
        <v>-5</v>
      </c>
      <c r="I144" t="str">
        <f>TEXT(Tabla1[[#This Row],[Date]],"mmmm")</f>
        <v>marzo</v>
      </c>
      <c r="J144" t="str">
        <f>TEXT(DAY(Tabla1[[#This Row],[Date]]),"dddd")</f>
        <v>martes</v>
      </c>
      <c r="K144">
        <f>MONTH(Tabla1[[#This Row],[Date]])</f>
        <v>3</v>
      </c>
    </row>
    <row r="145" spans="1:11" x14ac:dyDescent="0.25">
      <c r="A145" s="5">
        <v>45383</v>
      </c>
      <c r="B145" t="s">
        <v>7</v>
      </c>
      <c r="D145">
        <v>5000</v>
      </c>
      <c r="E145" t="s">
        <v>8</v>
      </c>
      <c r="F145" t="s">
        <v>90</v>
      </c>
      <c r="G145" t="s">
        <v>93</v>
      </c>
      <c r="H145">
        <f>Tabla1[[#This Row],[Credit]]-Tabla1[[#This Row],[Debit]]</f>
        <v>5000</v>
      </c>
      <c r="I145" t="str">
        <f>TEXT(Tabla1[[#This Row],[Date]],"mmmm")</f>
        <v>abril</v>
      </c>
      <c r="J145" t="str">
        <f>TEXT(DAY(Tabla1[[#This Row],[Date]]),"dddd")</f>
        <v>domingo</v>
      </c>
      <c r="K145">
        <f>MONTH(Tabla1[[#This Row],[Date]])</f>
        <v>4</v>
      </c>
    </row>
    <row r="146" spans="1:11" x14ac:dyDescent="0.25">
      <c r="A146" s="5">
        <v>45383</v>
      </c>
      <c r="B146" t="s">
        <v>10</v>
      </c>
      <c r="C146">
        <v>5</v>
      </c>
      <c r="E146" t="s">
        <v>11</v>
      </c>
      <c r="F146" t="s">
        <v>86</v>
      </c>
      <c r="G146" t="s">
        <v>70</v>
      </c>
      <c r="H146">
        <f>Tabla1[[#This Row],[Credit]]-Tabla1[[#This Row],[Debit]]</f>
        <v>-5</v>
      </c>
      <c r="I146" t="str">
        <f>TEXT(Tabla1[[#This Row],[Date]],"mmmm")</f>
        <v>abril</v>
      </c>
      <c r="J146" t="str">
        <f>TEXT(DAY(Tabla1[[#This Row],[Date]]),"dddd")</f>
        <v>domingo</v>
      </c>
      <c r="K146">
        <f>MONTH(Tabla1[[#This Row],[Date]])</f>
        <v>4</v>
      </c>
    </row>
    <row r="147" spans="1:11" x14ac:dyDescent="0.25">
      <c r="A147" s="5">
        <v>45384</v>
      </c>
      <c r="B147" t="s">
        <v>13</v>
      </c>
      <c r="C147">
        <v>900</v>
      </c>
      <c r="E147" t="s">
        <v>94</v>
      </c>
      <c r="F147" t="s">
        <v>87</v>
      </c>
      <c r="G147" t="s">
        <v>70</v>
      </c>
      <c r="H147">
        <f>Tabla1[[#This Row],[Credit]]-Tabla1[[#This Row],[Debit]]</f>
        <v>-900</v>
      </c>
      <c r="I147" t="str">
        <f>TEXT(Tabla1[[#This Row],[Date]],"mmmm")</f>
        <v>abril</v>
      </c>
      <c r="J147" t="str">
        <f>TEXT(DAY(Tabla1[[#This Row],[Date]]),"dddd")</f>
        <v>lunes</v>
      </c>
      <c r="K147">
        <f>MONTH(Tabla1[[#This Row],[Date]])</f>
        <v>4</v>
      </c>
    </row>
    <row r="148" spans="1:11" x14ac:dyDescent="0.25">
      <c r="A148" s="5">
        <v>45384</v>
      </c>
      <c r="B148" t="s">
        <v>15</v>
      </c>
      <c r="C148">
        <v>150</v>
      </c>
      <c r="E148" t="s">
        <v>98</v>
      </c>
      <c r="F148" t="s">
        <v>89</v>
      </c>
      <c r="G148" t="s">
        <v>70</v>
      </c>
      <c r="H148">
        <f>Tabla1[[#This Row],[Credit]]-Tabla1[[#This Row],[Debit]]</f>
        <v>-150</v>
      </c>
      <c r="I148" t="str">
        <f>TEXT(Tabla1[[#This Row],[Date]],"mmmm")</f>
        <v>abril</v>
      </c>
      <c r="J148" t="str">
        <f>TEXT(DAY(Tabla1[[#This Row],[Date]]),"dddd")</f>
        <v>lunes</v>
      </c>
      <c r="K148">
        <f>MONTH(Tabla1[[#This Row],[Date]])</f>
        <v>4</v>
      </c>
    </row>
    <row r="149" spans="1:11" x14ac:dyDescent="0.25">
      <c r="A149" s="5">
        <v>45384</v>
      </c>
      <c r="B149" t="s">
        <v>10</v>
      </c>
      <c r="C149">
        <v>5</v>
      </c>
      <c r="E149" t="s">
        <v>11</v>
      </c>
      <c r="F149" t="s">
        <v>86</v>
      </c>
      <c r="G149" t="s">
        <v>70</v>
      </c>
      <c r="H149">
        <f>Tabla1[[#This Row],[Credit]]-Tabla1[[#This Row],[Debit]]</f>
        <v>-5</v>
      </c>
      <c r="I149" t="str">
        <f>TEXT(Tabla1[[#This Row],[Date]],"mmmm")</f>
        <v>abril</v>
      </c>
      <c r="J149" t="str">
        <f>TEXT(DAY(Tabla1[[#This Row],[Date]]),"dddd")</f>
        <v>lunes</v>
      </c>
      <c r="K149">
        <f>MONTH(Tabla1[[#This Row],[Date]])</f>
        <v>4</v>
      </c>
    </row>
    <row r="150" spans="1:11" x14ac:dyDescent="0.25">
      <c r="A150" s="5">
        <v>45385</v>
      </c>
      <c r="B150" t="s">
        <v>10</v>
      </c>
      <c r="C150">
        <v>5</v>
      </c>
      <c r="E150" t="s">
        <v>11</v>
      </c>
      <c r="F150" t="s">
        <v>86</v>
      </c>
      <c r="G150" t="s">
        <v>70</v>
      </c>
      <c r="H150">
        <f>Tabla1[[#This Row],[Credit]]-Tabla1[[#This Row],[Debit]]</f>
        <v>-5</v>
      </c>
      <c r="I150" t="str">
        <f>TEXT(Tabla1[[#This Row],[Date]],"mmmm")</f>
        <v>abril</v>
      </c>
      <c r="J150" t="str">
        <f>TEXT(DAY(Tabla1[[#This Row],[Date]]),"dddd")</f>
        <v>martes</v>
      </c>
      <c r="K150">
        <f>MONTH(Tabla1[[#This Row],[Date]])</f>
        <v>4</v>
      </c>
    </row>
    <row r="151" spans="1:11" x14ac:dyDescent="0.25">
      <c r="A151" s="5">
        <v>45386</v>
      </c>
      <c r="B151" t="s">
        <v>10</v>
      </c>
      <c r="C151">
        <v>5</v>
      </c>
      <c r="E151" t="s">
        <v>11</v>
      </c>
      <c r="F151" t="s">
        <v>86</v>
      </c>
      <c r="G151" t="s">
        <v>70</v>
      </c>
      <c r="H151">
        <f>Tabla1[[#This Row],[Credit]]-Tabla1[[#This Row],[Debit]]</f>
        <v>-5</v>
      </c>
      <c r="I151" t="str">
        <f>TEXT(Tabla1[[#This Row],[Date]],"mmmm")</f>
        <v>abril</v>
      </c>
      <c r="J151" t="str">
        <f>TEXT(DAY(Tabla1[[#This Row],[Date]]),"dddd")</f>
        <v>miércoles</v>
      </c>
      <c r="K151">
        <f>MONTH(Tabla1[[#This Row],[Date]])</f>
        <v>4</v>
      </c>
    </row>
    <row r="152" spans="1:11" x14ac:dyDescent="0.25">
      <c r="A152" s="5">
        <v>45387</v>
      </c>
      <c r="B152" t="s">
        <v>10</v>
      </c>
      <c r="C152">
        <v>5</v>
      </c>
      <c r="E152" t="s">
        <v>11</v>
      </c>
      <c r="F152" t="s">
        <v>86</v>
      </c>
      <c r="G152" t="s">
        <v>70</v>
      </c>
      <c r="H152">
        <f>Tabla1[[#This Row],[Credit]]-Tabla1[[#This Row],[Debit]]</f>
        <v>-5</v>
      </c>
      <c r="I152" t="str">
        <f>TEXT(Tabla1[[#This Row],[Date]],"mmmm")</f>
        <v>abril</v>
      </c>
      <c r="J152" t="str">
        <f>TEXT(DAY(Tabla1[[#This Row],[Date]]),"dddd")</f>
        <v>jueves</v>
      </c>
      <c r="K152">
        <f>MONTH(Tabla1[[#This Row],[Date]])</f>
        <v>4</v>
      </c>
    </row>
    <row r="153" spans="1:11" x14ac:dyDescent="0.25">
      <c r="A153" s="5">
        <v>45387</v>
      </c>
      <c r="B153" t="s">
        <v>17</v>
      </c>
      <c r="C153">
        <v>158.19999999999999</v>
      </c>
      <c r="E153" t="s">
        <v>95</v>
      </c>
      <c r="F153" t="s">
        <v>87</v>
      </c>
      <c r="G153" t="s">
        <v>70</v>
      </c>
      <c r="H153">
        <f>Tabla1[[#This Row],[Credit]]-Tabla1[[#This Row],[Debit]]</f>
        <v>-158.19999999999999</v>
      </c>
      <c r="I153" t="str">
        <f>TEXT(Tabla1[[#This Row],[Date]],"mmmm")</f>
        <v>abril</v>
      </c>
      <c r="J153" t="str">
        <f>TEXT(DAY(Tabla1[[#This Row],[Date]]),"dddd")</f>
        <v>jueves</v>
      </c>
      <c r="K153">
        <f>MONTH(Tabla1[[#This Row],[Date]])</f>
        <v>4</v>
      </c>
    </row>
    <row r="154" spans="1:11" x14ac:dyDescent="0.25">
      <c r="A154" s="5">
        <v>45390</v>
      </c>
      <c r="B154" t="s">
        <v>19</v>
      </c>
      <c r="C154">
        <v>53.2</v>
      </c>
      <c r="E154" t="s">
        <v>20</v>
      </c>
      <c r="F154" t="s">
        <v>87</v>
      </c>
      <c r="G154" t="s">
        <v>70</v>
      </c>
      <c r="H154">
        <f>Tabla1[[#This Row],[Credit]]-Tabla1[[#This Row],[Debit]]</f>
        <v>-53.2</v>
      </c>
      <c r="I154" t="str">
        <f>TEXT(Tabla1[[#This Row],[Date]],"mmmm")</f>
        <v>abril</v>
      </c>
      <c r="J154" t="str">
        <f>TEXT(DAY(Tabla1[[#This Row],[Date]]),"dddd")</f>
        <v>domingo</v>
      </c>
      <c r="K154">
        <f>MONTH(Tabla1[[#This Row],[Date]])</f>
        <v>4</v>
      </c>
    </row>
    <row r="155" spans="1:11" x14ac:dyDescent="0.25">
      <c r="A155" s="5">
        <v>45390</v>
      </c>
      <c r="B155" t="s">
        <v>10</v>
      </c>
      <c r="C155">
        <v>5</v>
      </c>
      <c r="E155" t="s">
        <v>11</v>
      </c>
      <c r="F155" t="s">
        <v>86</v>
      </c>
      <c r="G155" t="s">
        <v>70</v>
      </c>
      <c r="H155">
        <f>Tabla1[[#This Row],[Credit]]-Tabla1[[#This Row],[Debit]]</f>
        <v>-5</v>
      </c>
      <c r="I155" t="str">
        <f>TEXT(Tabla1[[#This Row],[Date]],"mmmm")</f>
        <v>abril</v>
      </c>
      <c r="J155" t="str">
        <f>TEXT(DAY(Tabla1[[#This Row],[Date]]),"dddd")</f>
        <v>domingo</v>
      </c>
      <c r="K155">
        <f>MONTH(Tabla1[[#This Row],[Date]])</f>
        <v>4</v>
      </c>
    </row>
    <row r="156" spans="1:11" x14ac:dyDescent="0.25">
      <c r="A156" s="5">
        <v>45391</v>
      </c>
      <c r="B156" t="s">
        <v>10</v>
      </c>
      <c r="C156">
        <v>5</v>
      </c>
      <c r="E156" t="s">
        <v>11</v>
      </c>
      <c r="F156" t="s">
        <v>86</v>
      </c>
      <c r="G156" t="s">
        <v>70</v>
      </c>
      <c r="H156">
        <f>Tabla1[[#This Row],[Credit]]-Tabla1[[#This Row],[Debit]]</f>
        <v>-5</v>
      </c>
      <c r="I156" t="str">
        <f>TEXT(Tabla1[[#This Row],[Date]],"mmmm")</f>
        <v>abril</v>
      </c>
      <c r="J156" t="str">
        <f>TEXT(DAY(Tabla1[[#This Row],[Date]]),"dddd")</f>
        <v>lunes</v>
      </c>
      <c r="K156">
        <f>MONTH(Tabla1[[#This Row],[Date]])</f>
        <v>4</v>
      </c>
    </row>
    <row r="157" spans="1:11" x14ac:dyDescent="0.25">
      <c r="A157" s="5">
        <v>45392</v>
      </c>
      <c r="B157" t="s">
        <v>21</v>
      </c>
      <c r="C157">
        <v>79.900000000000006</v>
      </c>
      <c r="E157" t="s">
        <v>96</v>
      </c>
      <c r="F157" t="s">
        <v>89</v>
      </c>
      <c r="G157" t="s">
        <v>70</v>
      </c>
      <c r="H157">
        <f>Tabla1[[#This Row],[Credit]]-Tabla1[[#This Row],[Debit]]</f>
        <v>-79.900000000000006</v>
      </c>
      <c r="I157" t="str">
        <f>TEXT(Tabla1[[#This Row],[Date]],"mmmm")</f>
        <v>abril</v>
      </c>
      <c r="J157" t="str">
        <f>TEXT(DAY(Tabla1[[#This Row],[Date]]),"dddd")</f>
        <v>martes</v>
      </c>
      <c r="K157">
        <f>MONTH(Tabla1[[#This Row],[Date]])</f>
        <v>4</v>
      </c>
    </row>
    <row r="158" spans="1:11" x14ac:dyDescent="0.25">
      <c r="A158" s="5">
        <v>45392</v>
      </c>
      <c r="B158" t="s">
        <v>10</v>
      </c>
      <c r="C158">
        <v>5</v>
      </c>
      <c r="E158" t="s">
        <v>11</v>
      </c>
      <c r="F158" t="s">
        <v>86</v>
      </c>
      <c r="G158" t="s">
        <v>70</v>
      </c>
      <c r="H158">
        <f>Tabla1[[#This Row],[Credit]]-Tabla1[[#This Row],[Debit]]</f>
        <v>-5</v>
      </c>
      <c r="I158" t="str">
        <f>TEXT(Tabla1[[#This Row],[Date]],"mmmm")</f>
        <v>abril</v>
      </c>
      <c r="J158" t="str">
        <f>TEXT(DAY(Tabla1[[#This Row],[Date]]),"dddd")</f>
        <v>martes</v>
      </c>
      <c r="K158">
        <f>MONTH(Tabla1[[#This Row],[Date]])</f>
        <v>4</v>
      </c>
    </row>
    <row r="159" spans="1:11" x14ac:dyDescent="0.25">
      <c r="A159" s="5">
        <v>45393</v>
      </c>
      <c r="B159" t="s">
        <v>10</v>
      </c>
      <c r="C159">
        <v>5</v>
      </c>
      <c r="E159" t="s">
        <v>11</v>
      </c>
      <c r="F159" t="s">
        <v>86</v>
      </c>
      <c r="G159" t="s">
        <v>70</v>
      </c>
      <c r="H159">
        <f>Tabla1[[#This Row],[Credit]]-Tabla1[[#This Row],[Debit]]</f>
        <v>-5</v>
      </c>
      <c r="I159" t="str">
        <f>TEXT(Tabla1[[#This Row],[Date]],"mmmm")</f>
        <v>abril</v>
      </c>
      <c r="J159" t="str">
        <f>TEXT(DAY(Tabla1[[#This Row],[Date]]),"dddd")</f>
        <v>miércoles</v>
      </c>
      <c r="K159">
        <f>MONTH(Tabla1[[#This Row],[Date]])</f>
        <v>4</v>
      </c>
    </row>
    <row r="160" spans="1:11" x14ac:dyDescent="0.25">
      <c r="A160" s="5">
        <v>45394</v>
      </c>
      <c r="B160" t="s">
        <v>17</v>
      </c>
      <c r="C160">
        <v>98</v>
      </c>
      <c r="E160" t="s">
        <v>95</v>
      </c>
      <c r="F160" t="s">
        <v>87</v>
      </c>
      <c r="G160" t="s">
        <v>70</v>
      </c>
      <c r="H160">
        <f>Tabla1[[#This Row],[Credit]]-Tabla1[[#This Row],[Debit]]</f>
        <v>-98</v>
      </c>
      <c r="I160" t="str">
        <f>TEXT(Tabla1[[#This Row],[Date]],"mmmm")</f>
        <v>abril</v>
      </c>
      <c r="J160" t="str">
        <f>TEXT(DAY(Tabla1[[#This Row],[Date]]),"dddd")</f>
        <v>jueves</v>
      </c>
      <c r="K160">
        <f>MONTH(Tabla1[[#This Row],[Date]])</f>
        <v>4</v>
      </c>
    </row>
    <row r="161" spans="1:11" x14ac:dyDescent="0.25">
      <c r="A161" s="5">
        <v>45394</v>
      </c>
      <c r="B161" t="s">
        <v>10</v>
      </c>
      <c r="C161">
        <v>5</v>
      </c>
      <c r="E161" t="s">
        <v>11</v>
      </c>
      <c r="F161" t="s">
        <v>86</v>
      </c>
      <c r="G161" t="s">
        <v>70</v>
      </c>
      <c r="H161">
        <f>Tabla1[[#This Row],[Credit]]-Tabla1[[#This Row],[Debit]]</f>
        <v>-5</v>
      </c>
      <c r="I161" t="str">
        <f>TEXT(Tabla1[[#This Row],[Date]],"mmmm")</f>
        <v>abril</v>
      </c>
      <c r="J161" t="str">
        <f>TEXT(DAY(Tabla1[[#This Row],[Date]]),"dddd")</f>
        <v>jueves</v>
      </c>
      <c r="K161">
        <f>MONTH(Tabla1[[#This Row],[Date]])</f>
        <v>4</v>
      </c>
    </row>
    <row r="162" spans="1:11" x14ac:dyDescent="0.25">
      <c r="A162" s="5">
        <v>45395</v>
      </c>
      <c r="B162" t="s">
        <v>10</v>
      </c>
      <c r="C162">
        <v>5</v>
      </c>
      <c r="E162" t="s">
        <v>11</v>
      </c>
      <c r="F162" t="s">
        <v>86</v>
      </c>
      <c r="G162" t="s">
        <v>70</v>
      </c>
      <c r="H162">
        <f>Tabla1[[#This Row],[Credit]]-Tabla1[[#This Row],[Debit]]</f>
        <v>-5</v>
      </c>
      <c r="I162" t="str">
        <f>TEXT(Tabla1[[#This Row],[Date]],"mmmm")</f>
        <v>abril</v>
      </c>
      <c r="J162" t="str">
        <f>TEXT(DAY(Tabla1[[#This Row],[Date]]),"dddd")</f>
        <v>viernes</v>
      </c>
      <c r="K162">
        <f>MONTH(Tabla1[[#This Row],[Date]])</f>
        <v>4</v>
      </c>
    </row>
    <row r="163" spans="1:11" x14ac:dyDescent="0.25">
      <c r="A163" s="5">
        <v>45395</v>
      </c>
      <c r="B163" t="s">
        <v>22</v>
      </c>
      <c r="C163">
        <v>42.8</v>
      </c>
      <c r="E163" t="s">
        <v>23</v>
      </c>
      <c r="F163" t="s">
        <v>91</v>
      </c>
      <c r="G163" t="s">
        <v>70</v>
      </c>
      <c r="H163">
        <f>Tabla1[[#This Row],[Credit]]-Tabla1[[#This Row],[Debit]]</f>
        <v>-42.8</v>
      </c>
      <c r="I163" t="str">
        <f>TEXT(Tabla1[[#This Row],[Date]],"mmmm")</f>
        <v>abril</v>
      </c>
      <c r="J163" t="str">
        <f>TEXT(DAY(Tabla1[[#This Row],[Date]]),"dddd")</f>
        <v>viernes</v>
      </c>
      <c r="K163">
        <f>MONTH(Tabla1[[#This Row],[Date]])</f>
        <v>4</v>
      </c>
    </row>
    <row r="164" spans="1:11" x14ac:dyDescent="0.25">
      <c r="A164" s="5">
        <v>45395</v>
      </c>
      <c r="B164" t="s">
        <v>24</v>
      </c>
      <c r="C164">
        <v>100.9</v>
      </c>
      <c r="E164" t="s">
        <v>97</v>
      </c>
      <c r="F164" t="s">
        <v>91</v>
      </c>
      <c r="G164" t="s">
        <v>70</v>
      </c>
      <c r="H164">
        <f>Tabla1[[#This Row],[Credit]]-Tabla1[[#This Row],[Debit]]</f>
        <v>-100.9</v>
      </c>
      <c r="I164" t="str">
        <f>TEXT(Tabla1[[#This Row],[Date]],"mmmm")</f>
        <v>abril</v>
      </c>
      <c r="J164" t="str">
        <f>TEXT(DAY(Tabla1[[#This Row],[Date]]),"dddd")</f>
        <v>viernes</v>
      </c>
      <c r="K164">
        <f>MONTH(Tabla1[[#This Row],[Date]])</f>
        <v>4</v>
      </c>
    </row>
    <row r="165" spans="1:11" x14ac:dyDescent="0.25">
      <c r="A165" s="5">
        <v>45395</v>
      </c>
      <c r="B165" t="s">
        <v>26</v>
      </c>
      <c r="C165">
        <v>54.9</v>
      </c>
      <c r="E165" t="s">
        <v>27</v>
      </c>
      <c r="F165" t="s">
        <v>86</v>
      </c>
      <c r="G165" t="s">
        <v>70</v>
      </c>
      <c r="H165">
        <f>Tabla1[[#This Row],[Credit]]-Tabla1[[#This Row],[Debit]]</f>
        <v>-54.9</v>
      </c>
      <c r="I165" t="str">
        <f>TEXT(Tabla1[[#This Row],[Date]],"mmmm")</f>
        <v>abril</v>
      </c>
      <c r="J165" t="str">
        <f>TEXT(DAY(Tabla1[[#This Row],[Date]]),"dddd")</f>
        <v>viernes</v>
      </c>
      <c r="K165">
        <f>MONTH(Tabla1[[#This Row],[Date]])</f>
        <v>4</v>
      </c>
    </row>
    <row r="166" spans="1:11" x14ac:dyDescent="0.25">
      <c r="A166" s="5">
        <v>45396</v>
      </c>
      <c r="B166" t="s">
        <v>28</v>
      </c>
      <c r="C166">
        <v>31</v>
      </c>
      <c r="E166" t="s">
        <v>29</v>
      </c>
      <c r="F166" t="s">
        <v>89</v>
      </c>
      <c r="G166" t="s">
        <v>70</v>
      </c>
      <c r="H166">
        <f>Tabla1[[#This Row],[Credit]]-Tabla1[[#This Row],[Debit]]</f>
        <v>-31</v>
      </c>
      <c r="I166" t="str">
        <f>TEXT(Tabla1[[#This Row],[Date]],"mmmm")</f>
        <v>abril</v>
      </c>
      <c r="J166" t="str">
        <f>TEXT(DAY(Tabla1[[#This Row],[Date]]),"dddd")</f>
        <v>sábado</v>
      </c>
      <c r="K166">
        <f>MONTH(Tabla1[[#This Row],[Date]])</f>
        <v>4</v>
      </c>
    </row>
    <row r="167" spans="1:11" x14ac:dyDescent="0.25">
      <c r="A167" s="5">
        <v>45397</v>
      </c>
      <c r="B167" t="s">
        <v>30</v>
      </c>
      <c r="D167">
        <v>2340</v>
      </c>
      <c r="E167" t="s">
        <v>31</v>
      </c>
      <c r="F167" t="s">
        <v>92</v>
      </c>
      <c r="G167" t="s">
        <v>93</v>
      </c>
      <c r="H167">
        <f>Tabla1[[#This Row],[Credit]]-Tabla1[[#This Row],[Debit]]</f>
        <v>2340</v>
      </c>
      <c r="I167" t="str">
        <f>TEXT(Tabla1[[#This Row],[Date]],"mmmm")</f>
        <v>abril</v>
      </c>
      <c r="J167" t="str">
        <f>TEXT(DAY(Tabla1[[#This Row],[Date]]),"dddd")</f>
        <v>domingo</v>
      </c>
      <c r="K167">
        <f>MONTH(Tabla1[[#This Row],[Date]])</f>
        <v>4</v>
      </c>
    </row>
    <row r="168" spans="1:11" x14ac:dyDescent="0.25">
      <c r="A168" s="5">
        <v>45397</v>
      </c>
      <c r="B168" t="s">
        <v>10</v>
      </c>
      <c r="C168">
        <v>5</v>
      </c>
      <c r="E168" t="s">
        <v>11</v>
      </c>
      <c r="F168" t="s">
        <v>86</v>
      </c>
      <c r="G168" t="s">
        <v>70</v>
      </c>
      <c r="H168">
        <f>Tabla1[[#This Row],[Credit]]-Tabla1[[#This Row],[Debit]]</f>
        <v>-5</v>
      </c>
      <c r="I168" t="str">
        <f>TEXT(Tabla1[[#This Row],[Date]],"mmmm")</f>
        <v>abril</v>
      </c>
      <c r="J168" t="str">
        <f>TEXT(DAY(Tabla1[[#This Row],[Date]]),"dddd")</f>
        <v>domingo</v>
      </c>
      <c r="K168">
        <f>MONTH(Tabla1[[#This Row],[Date]])</f>
        <v>4</v>
      </c>
    </row>
    <row r="169" spans="1:11" x14ac:dyDescent="0.25">
      <c r="A169" s="5">
        <v>45398</v>
      </c>
      <c r="B169" t="s">
        <v>10</v>
      </c>
      <c r="C169">
        <v>5</v>
      </c>
      <c r="E169" t="s">
        <v>11</v>
      </c>
      <c r="F169" t="s">
        <v>86</v>
      </c>
      <c r="G169" t="s">
        <v>70</v>
      </c>
      <c r="H169">
        <f>Tabla1[[#This Row],[Credit]]-Tabla1[[#This Row],[Debit]]</f>
        <v>-5</v>
      </c>
      <c r="I169" t="str">
        <f>TEXT(Tabla1[[#This Row],[Date]],"mmmm")</f>
        <v>abril</v>
      </c>
      <c r="J169" t="str">
        <f>TEXT(DAY(Tabla1[[#This Row],[Date]]),"dddd")</f>
        <v>lunes</v>
      </c>
      <c r="K169">
        <f>MONTH(Tabla1[[#This Row],[Date]])</f>
        <v>4</v>
      </c>
    </row>
    <row r="170" spans="1:11" x14ac:dyDescent="0.25">
      <c r="A170" s="5">
        <v>45398</v>
      </c>
      <c r="B170" t="s">
        <v>33</v>
      </c>
      <c r="C170">
        <v>40</v>
      </c>
      <c r="E170" t="s">
        <v>33</v>
      </c>
      <c r="F170" t="s">
        <v>87</v>
      </c>
      <c r="G170" t="s">
        <v>70</v>
      </c>
      <c r="H170">
        <f>Tabla1[[#This Row],[Credit]]-Tabla1[[#This Row],[Debit]]</f>
        <v>-40</v>
      </c>
      <c r="I170" t="str">
        <f>TEXT(Tabla1[[#This Row],[Date]],"mmmm")</f>
        <v>abril</v>
      </c>
      <c r="J170" t="str">
        <f>TEXT(DAY(Tabla1[[#This Row],[Date]]),"dddd")</f>
        <v>lunes</v>
      </c>
      <c r="K170">
        <f>MONTH(Tabla1[[#This Row],[Date]])</f>
        <v>4</v>
      </c>
    </row>
    <row r="171" spans="1:11" x14ac:dyDescent="0.25">
      <c r="A171" s="5">
        <v>45399</v>
      </c>
      <c r="B171" t="s">
        <v>34</v>
      </c>
      <c r="C171">
        <v>47.9</v>
      </c>
      <c r="E171" t="s">
        <v>35</v>
      </c>
      <c r="F171" t="s">
        <v>91</v>
      </c>
      <c r="G171" t="s">
        <v>70</v>
      </c>
      <c r="H171">
        <f>Tabla1[[#This Row],[Credit]]-Tabla1[[#This Row],[Debit]]</f>
        <v>-47.9</v>
      </c>
      <c r="I171" t="str">
        <f>TEXT(Tabla1[[#This Row],[Date]],"mmmm")</f>
        <v>abril</v>
      </c>
      <c r="J171" t="str">
        <f>TEXT(DAY(Tabla1[[#This Row],[Date]]),"dddd")</f>
        <v>martes</v>
      </c>
      <c r="K171">
        <f>MONTH(Tabla1[[#This Row],[Date]])</f>
        <v>4</v>
      </c>
    </row>
    <row r="172" spans="1:11" x14ac:dyDescent="0.25">
      <c r="A172" s="5">
        <v>45399</v>
      </c>
      <c r="B172" t="s">
        <v>36</v>
      </c>
      <c r="C172">
        <v>35</v>
      </c>
      <c r="E172" t="s">
        <v>23</v>
      </c>
      <c r="F172" t="s">
        <v>91</v>
      </c>
      <c r="G172" t="s">
        <v>70</v>
      </c>
      <c r="H172">
        <f>Tabla1[[#This Row],[Credit]]-Tabla1[[#This Row],[Debit]]</f>
        <v>-35</v>
      </c>
      <c r="I172" t="str">
        <f>TEXT(Tabla1[[#This Row],[Date]],"mmmm")</f>
        <v>abril</v>
      </c>
      <c r="J172" t="str">
        <f>TEXT(DAY(Tabla1[[#This Row],[Date]]),"dddd")</f>
        <v>martes</v>
      </c>
      <c r="K172">
        <f>MONTH(Tabla1[[#This Row],[Date]])</f>
        <v>4</v>
      </c>
    </row>
    <row r="173" spans="1:11" x14ac:dyDescent="0.25">
      <c r="A173" s="5">
        <v>45399</v>
      </c>
      <c r="B173" t="s">
        <v>10</v>
      </c>
      <c r="C173">
        <v>5</v>
      </c>
      <c r="E173" t="s">
        <v>11</v>
      </c>
      <c r="F173" t="s">
        <v>86</v>
      </c>
      <c r="G173" t="s">
        <v>70</v>
      </c>
      <c r="H173">
        <f>Tabla1[[#This Row],[Credit]]-Tabla1[[#This Row],[Debit]]</f>
        <v>-5</v>
      </c>
      <c r="I173" t="str">
        <f>TEXT(Tabla1[[#This Row],[Date]],"mmmm")</f>
        <v>abril</v>
      </c>
      <c r="J173" t="str">
        <f>TEXT(DAY(Tabla1[[#This Row],[Date]]),"dddd")</f>
        <v>martes</v>
      </c>
      <c r="K173">
        <f>MONTH(Tabla1[[#This Row],[Date]])</f>
        <v>4</v>
      </c>
    </row>
    <row r="174" spans="1:11" x14ac:dyDescent="0.25">
      <c r="A174" s="5">
        <v>45400</v>
      </c>
      <c r="B174" t="s">
        <v>10</v>
      </c>
      <c r="C174">
        <v>5</v>
      </c>
      <c r="E174" t="s">
        <v>11</v>
      </c>
      <c r="F174" t="s">
        <v>86</v>
      </c>
      <c r="G174" t="s">
        <v>70</v>
      </c>
      <c r="H174">
        <f>Tabla1[[#This Row],[Credit]]-Tabla1[[#This Row],[Debit]]</f>
        <v>-5</v>
      </c>
      <c r="I174" t="str">
        <f>TEXT(Tabla1[[#This Row],[Date]],"mmmm")</f>
        <v>abril</v>
      </c>
      <c r="J174" t="str">
        <f>TEXT(DAY(Tabla1[[#This Row],[Date]]),"dddd")</f>
        <v>miércoles</v>
      </c>
      <c r="K174">
        <f>MONTH(Tabla1[[#This Row],[Date]])</f>
        <v>4</v>
      </c>
    </row>
    <row r="175" spans="1:11" x14ac:dyDescent="0.25">
      <c r="A175" s="5">
        <v>45401</v>
      </c>
      <c r="B175" t="s">
        <v>10</v>
      </c>
      <c r="C175">
        <v>5</v>
      </c>
      <c r="E175" t="s">
        <v>11</v>
      </c>
      <c r="F175" t="s">
        <v>86</v>
      </c>
      <c r="G175" t="s">
        <v>70</v>
      </c>
      <c r="H175">
        <f>Tabla1[[#This Row],[Credit]]-Tabla1[[#This Row],[Debit]]</f>
        <v>-5</v>
      </c>
      <c r="I175" t="str">
        <f>TEXT(Tabla1[[#This Row],[Date]],"mmmm")</f>
        <v>abril</v>
      </c>
      <c r="J175" t="str">
        <f>TEXT(DAY(Tabla1[[#This Row],[Date]]),"dddd")</f>
        <v>jueves</v>
      </c>
      <c r="K175">
        <f>MONTH(Tabla1[[#This Row],[Date]])</f>
        <v>4</v>
      </c>
    </row>
    <row r="176" spans="1:11" x14ac:dyDescent="0.25">
      <c r="A176" s="5">
        <v>45401</v>
      </c>
      <c r="B176" t="s">
        <v>17</v>
      </c>
      <c r="C176">
        <v>173</v>
      </c>
      <c r="E176" t="s">
        <v>95</v>
      </c>
      <c r="F176" t="s">
        <v>87</v>
      </c>
      <c r="G176" t="s">
        <v>70</v>
      </c>
      <c r="H176">
        <f>Tabla1[[#This Row],[Credit]]-Tabla1[[#This Row],[Debit]]</f>
        <v>-173</v>
      </c>
      <c r="I176" t="str">
        <f>TEXT(Tabla1[[#This Row],[Date]],"mmmm")</f>
        <v>abril</v>
      </c>
      <c r="J176" t="str">
        <f>TEXT(DAY(Tabla1[[#This Row],[Date]]),"dddd")</f>
        <v>jueves</v>
      </c>
      <c r="K176">
        <f>MONTH(Tabla1[[#This Row],[Date]])</f>
        <v>4</v>
      </c>
    </row>
    <row r="177" spans="1:11" x14ac:dyDescent="0.25">
      <c r="A177" s="5">
        <v>45402</v>
      </c>
      <c r="B177" t="s">
        <v>37</v>
      </c>
      <c r="C177">
        <v>40.1</v>
      </c>
      <c r="E177" t="s">
        <v>27</v>
      </c>
      <c r="F177" t="s">
        <v>86</v>
      </c>
      <c r="G177" t="s">
        <v>70</v>
      </c>
      <c r="H177">
        <f>Tabla1[[#This Row],[Credit]]-Tabla1[[#This Row],[Debit]]</f>
        <v>-40.1</v>
      </c>
      <c r="I177" t="str">
        <f>TEXT(Tabla1[[#This Row],[Date]],"mmmm")</f>
        <v>abril</v>
      </c>
      <c r="J177" t="str">
        <f>TEXT(DAY(Tabla1[[#This Row],[Date]]),"dddd")</f>
        <v>viernes</v>
      </c>
      <c r="K177">
        <f>MONTH(Tabla1[[#This Row],[Date]])</f>
        <v>4</v>
      </c>
    </row>
    <row r="178" spans="1:11" x14ac:dyDescent="0.25">
      <c r="A178" s="5">
        <v>45403</v>
      </c>
      <c r="B178" t="s">
        <v>38</v>
      </c>
      <c r="C178">
        <v>15.1</v>
      </c>
      <c r="E178" t="s">
        <v>27</v>
      </c>
      <c r="F178" t="s">
        <v>86</v>
      </c>
      <c r="G178" t="s">
        <v>70</v>
      </c>
      <c r="H178">
        <f>Tabla1[[#This Row],[Credit]]-Tabla1[[#This Row],[Debit]]</f>
        <v>-15.1</v>
      </c>
      <c r="I178" t="str">
        <f>TEXT(Tabla1[[#This Row],[Date]],"mmmm")</f>
        <v>abril</v>
      </c>
      <c r="J178" t="str">
        <f>TEXT(DAY(Tabla1[[#This Row],[Date]]),"dddd")</f>
        <v>sábado</v>
      </c>
      <c r="K178">
        <f>MONTH(Tabla1[[#This Row],[Date]])</f>
        <v>4</v>
      </c>
    </row>
    <row r="179" spans="1:11" x14ac:dyDescent="0.25">
      <c r="A179" s="5">
        <v>45404</v>
      </c>
      <c r="B179" t="s">
        <v>39</v>
      </c>
      <c r="C179">
        <v>55</v>
      </c>
      <c r="E179" t="s">
        <v>40</v>
      </c>
      <c r="F179" t="s">
        <v>85</v>
      </c>
      <c r="G179" t="s">
        <v>70</v>
      </c>
      <c r="H179">
        <f>Tabla1[[#This Row],[Credit]]-Tabla1[[#This Row],[Debit]]</f>
        <v>-55</v>
      </c>
      <c r="I179" t="str">
        <f>TEXT(Tabla1[[#This Row],[Date]],"mmmm")</f>
        <v>abril</v>
      </c>
      <c r="J179" t="str">
        <f>TEXT(DAY(Tabla1[[#This Row],[Date]]),"dddd")</f>
        <v>domingo</v>
      </c>
      <c r="K179">
        <f>MONTH(Tabla1[[#This Row],[Date]])</f>
        <v>4</v>
      </c>
    </row>
    <row r="180" spans="1:11" x14ac:dyDescent="0.25">
      <c r="A180" s="5">
        <v>45404</v>
      </c>
      <c r="B180" t="s">
        <v>21</v>
      </c>
      <c r="C180">
        <v>66</v>
      </c>
      <c r="E180" t="s">
        <v>96</v>
      </c>
      <c r="F180" t="s">
        <v>89</v>
      </c>
      <c r="G180" t="s">
        <v>70</v>
      </c>
      <c r="H180">
        <f>Tabla1[[#This Row],[Credit]]-Tabla1[[#This Row],[Debit]]</f>
        <v>-66</v>
      </c>
      <c r="I180" t="str">
        <f>TEXT(Tabla1[[#This Row],[Date]],"mmmm")</f>
        <v>abril</v>
      </c>
      <c r="J180" t="str">
        <f>TEXT(DAY(Tabla1[[#This Row],[Date]]),"dddd")</f>
        <v>domingo</v>
      </c>
      <c r="K180">
        <f>MONTH(Tabla1[[#This Row],[Date]])</f>
        <v>4</v>
      </c>
    </row>
    <row r="181" spans="1:11" x14ac:dyDescent="0.25">
      <c r="A181" s="5">
        <v>45404</v>
      </c>
      <c r="B181" t="s">
        <v>10</v>
      </c>
      <c r="C181">
        <v>5</v>
      </c>
      <c r="E181" t="s">
        <v>11</v>
      </c>
      <c r="F181" t="s">
        <v>86</v>
      </c>
      <c r="G181" t="s">
        <v>70</v>
      </c>
      <c r="H181">
        <f>Tabla1[[#This Row],[Credit]]-Tabla1[[#This Row],[Debit]]</f>
        <v>-5</v>
      </c>
      <c r="I181" t="str">
        <f>TEXT(Tabla1[[#This Row],[Date]],"mmmm")</f>
        <v>abril</v>
      </c>
      <c r="J181" t="str">
        <f>TEXT(DAY(Tabla1[[#This Row],[Date]]),"dddd")</f>
        <v>domingo</v>
      </c>
      <c r="K181">
        <f>MONTH(Tabla1[[#This Row],[Date]])</f>
        <v>4</v>
      </c>
    </row>
    <row r="182" spans="1:11" x14ac:dyDescent="0.25">
      <c r="A182" s="5">
        <v>45405</v>
      </c>
      <c r="B182" t="s">
        <v>10</v>
      </c>
      <c r="C182">
        <v>5</v>
      </c>
      <c r="E182" t="s">
        <v>11</v>
      </c>
      <c r="F182" t="s">
        <v>86</v>
      </c>
      <c r="G182" t="s">
        <v>70</v>
      </c>
      <c r="H182">
        <f>Tabla1[[#This Row],[Credit]]-Tabla1[[#This Row],[Debit]]</f>
        <v>-5</v>
      </c>
      <c r="I182" t="str">
        <f>TEXT(Tabla1[[#This Row],[Date]],"mmmm")</f>
        <v>abril</v>
      </c>
      <c r="J182" t="str">
        <f>TEXT(DAY(Tabla1[[#This Row],[Date]]),"dddd")</f>
        <v>lunes</v>
      </c>
      <c r="K182">
        <f>MONTH(Tabla1[[#This Row],[Date]])</f>
        <v>4</v>
      </c>
    </row>
    <row r="183" spans="1:11" x14ac:dyDescent="0.25">
      <c r="A183" s="5">
        <v>45406</v>
      </c>
      <c r="B183" t="s">
        <v>10</v>
      </c>
      <c r="C183">
        <v>5</v>
      </c>
      <c r="E183" t="s">
        <v>11</v>
      </c>
      <c r="F183" t="s">
        <v>86</v>
      </c>
      <c r="G183" t="s">
        <v>70</v>
      </c>
      <c r="H183">
        <f>Tabla1[[#This Row],[Credit]]-Tabla1[[#This Row],[Debit]]</f>
        <v>-5</v>
      </c>
      <c r="I183" t="str">
        <f>TEXT(Tabla1[[#This Row],[Date]],"mmmm")</f>
        <v>abril</v>
      </c>
      <c r="J183" t="str">
        <f>TEXT(DAY(Tabla1[[#This Row],[Date]]),"dddd")</f>
        <v>martes</v>
      </c>
      <c r="K183">
        <f>MONTH(Tabla1[[#This Row],[Date]])</f>
        <v>4</v>
      </c>
    </row>
    <row r="184" spans="1:11" x14ac:dyDescent="0.25">
      <c r="A184" s="5">
        <v>45407</v>
      </c>
      <c r="B184" t="s">
        <v>10</v>
      </c>
      <c r="C184">
        <v>5</v>
      </c>
      <c r="E184" t="s">
        <v>11</v>
      </c>
      <c r="F184" t="s">
        <v>86</v>
      </c>
      <c r="G184" t="s">
        <v>70</v>
      </c>
      <c r="H184">
        <f>Tabla1[[#This Row],[Credit]]-Tabla1[[#This Row],[Debit]]</f>
        <v>-5</v>
      </c>
      <c r="I184" t="str">
        <f>TEXT(Tabla1[[#This Row],[Date]],"mmmm")</f>
        <v>abril</v>
      </c>
      <c r="J184" t="str">
        <f>TEXT(DAY(Tabla1[[#This Row],[Date]]),"dddd")</f>
        <v>miércoles</v>
      </c>
      <c r="K184">
        <f>MONTH(Tabla1[[#This Row],[Date]])</f>
        <v>4</v>
      </c>
    </row>
    <row r="185" spans="1:11" x14ac:dyDescent="0.25">
      <c r="A185" s="5">
        <v>45408</v>
      </c>
      <c r="B185" t="s">
        <v>10</v>
      </c>
      <c r="C185">
        <v>5</v>
      </c>
      <c r="E185" t="s">
        <v>11</v>
      </c>
      <c r="F185" t="s">
        <v>86</v>
      </c>
      <c r="G185" t="s">
        <v>70</v>
      </c>
      <c r="H185">
        <f>Tabla1[[#This Row],[Credit]]-Tabla1[[#This Row],[Debit]]</f>
        <v>-5</v>
      </c>
      <c r="I185" t="str">
        <f>TEXT(Tabla1[[#This Row],[Date]],"mmmm")</f>
        <v>abril</v>
      </c>
      <c r="J185" t="str">
        <f>TEXT(DAY(Tabla1[[#This Row],[Date]]),"dddd")</f>
        <v>jueves</v>
      </c>
      <c r="K185">
        <f>MONTH(Tabla1[[#This Row],[Date]])</f>
        <v>4</v>
      </c>
    </row>
    <row r="186" spans="1:11" x14ac:dyDescent="0.25">
      <c r="A186" s="5">
        <v>45408</v>
      </c>
      <c r="B186" t="s">
        <v>17</v>
      </c>
      <c r="C186">
        <v>164.9</v>
      </c>
      <c r="E186" t="s">
        <v>95</v>
      </c>
      <c r="F186" t="s">
        <v>87</v>
      </c>
      <c r="G186" t="s">
        <v>70</v>
      </c>
      <c r="H186">
        <f>Tabla1[[#This Row],[Credit]]-Tabla1[[#This Row],[Debit]]</f>
        <v>-164.9</v>
      </c>
      <c r="I186" t="str">
        <f>TEXT(Tabla1[[#This Row],[Date]],"mmmm")</f>
        <v>abril</v>
      </c>
      <c r="J186" t="str">
        <f>TEXT(DAY(Tabla1[[#This Row],[Date]]),"dddd")</f>
        <v>jueves</v>
      </c>
      <c r="K186">
        <f>MONTH(Tabla1[[#This Row],[Date]])</f>
        <v>4</v>
      </c>
    </row>
    <row r="187" spans="1:11" x14ac:dyDescent="0.25">
      <c r="A187" s="5">
        <v>45409</v>
      </c>
      <c r="B187" t="s">
        <v>41</v>
      </c>
      <c r="C187">
        <v>127.9</v>
      </c>
      <c r="E187" t="s">
        <v>97</v>
      </c>
      <c r="F187" t="s">
        <v>91</v>
      </c>
      <c r="G187" t="s">
        <v>70</v>
      </c>
      <c r="H187">
        <f>Tabla1[[#This Row],[Credit]]-Tabla1[[#This Row],[Debit]]</f>
        <v>-127.9</v>
      </c>
      <c r="I187" t="str">
        <f>TEXT(Tabla1[[#This Row],[Date]],"mmmm")</f>
        <v>abril</v>
      </c>
      <c r="J187" t="str">
        <f>TEXT(DAY(Tabla1[[#This Row],[Date]]),"dddd")</f>
        <v>viernes</v>
      </c>
      <c r="K187">
        <f>MONTH(Tabla1[[#This Row],[Date]])</f>
        <v>4</v>
      </c>
    </row>
    <row r="188" spans="1:11" x14ac:dyDescent="0.25">
      <c r="A188" s="5">
        <v>45409</v>
      </c>
      <c r="B188" t="s">
        <v>48</v>
      </c>
      <c r="C188">
        <v>300</v>
      </c>
      <c r="E188" t="s">
        <v>23</v>
      </c>
      <c r="F188" t="s">
        <v>91</v>
      </c>
      <c r="G188" t="s">
        <v>70</v>
      </c>
      <c r="H188">
        <f>Tabla1[[#This Row],[Credit]]-Tabla1[[#This Row],[Debit]]</f>
        <v>-300</v>
      </c>
      <c r="I188" t="str">
        <f>TEXT(Tabla1[[#This Row],[Date]],"mmmm")</f>
        <v>abril</v>
      </c>
      <c r="J188" t="str">
        <f>TEXT(DAY(Tabla1[[#This Row],[Date]]),"dddd")</f>
        <v>viernes</v>
      </c>
      <c r="K188">
        <f>MONTH(Tabla1[[#This Row],[Date]])</f>
        <v>4</v>
      </c>
    </row>
    <row r="189" spans="1:11" x14ac:dyDescent="0.25">
      <c r="A189" s="5">
        <v>45410</v>
      </c>
      <c r="B189" t="s">
        <v>24</v>
      </c>
      <c r="C189">
        <v>148.1</v>
      </c>
      <c r="E189" t="s">
        <v>97</v>
      </c>
      <c r="F189" t="s">
        <v>91</v>
      </c>
      <c r="G189" t="s">
        <v>70</v>
      </c>
      <c r="H189">
        <f>Tabla1[[#This Row],[Credit]]-Tabla1[[#This Row],[Debit]]</f>
        <v>-148.1</v>
      </c>
      <c r="I189" t="str">
        <f>TEXT(Tabla1[[#This Row],[Date]],"mmmm")</f>
        <v>abril</v>
      </c>
      <c r="J189" t="str">
        <f>TEXT(DAY(Tabla1[[#This Row],[Date]]),"dddd")</f>
        <v>sábado</v>
      </c>
      <c r="K189">
        <f>MONTH(Tabla1[[#This Row],[Date]])</f>
        <v>4</v>
      </c>
    </row>
    <row r="190" spans="1:11" x14ac:dyDescent="0.25">
      <c r="A190" s="5">
        <v>45410</v>
      </c>
      <c r="B190" t="s">
        <v>28</v>
      </c>
      <c r="C190">
        <v>26.1</v>
      </c>
      <c r="E190" t="s">
        <v>29</v>
      </c>
      <c r="F190" t="s">
        <v>89</v>
      </c>
      <c r="G190" t="s">
        <v>70</v>
      </c>
      <c r="H190">
        <f>Tabla1[[#This Row],[Credit]]-Tabla1[[#This Row],[Debit]]</f>
        <v>-26.1</v>
      </c>
      <c r="I190" t="str">
        <f>TEXT(Tabla1[[#This Row],[Date]],"mmmm")</f>
        <v>abril</v>
      </c>
      <c r="J190" t="str">
        <f>TEXT(DAY(Tabla1[[#This Row],[Date]]),"dddd")</f>
        <v>sábado</v>
      </c>
      <c r="K190">
        <f>MONTH(Tabla1[[#This Row],[Date]])</f>
        <v>4</v>
      </c>
    </row>
    <row r="191" spans="1:11" x14ac:dyDescent="0.25">
      <c r="A191" s="5">
        <v>45411</v>
      </c>
      <c r="B191" t="s">
        <v>47</v>
      </c>
      <c r="C191">
        <v>15</v>
      </c>
      <c r="E191" t="s">
        <v>27</v>
      </c>
      <c r="F191" t="s">
        <v>86</v>
      </c>
      <c r="G191" t="s">
        <v>70</v>
      </c>
      <c r="H191">
        <f>Tabla1[[#This Row],[Credit]]-Tabla1[[#This Row],[Debit]]</f>
        <v>-15</v>
      </c>
      <c r="I191" t="str">
        <f>TEXT(Tabla1[[#This Row],[Date]],"mmmm")</f>
        <v>abril</v>
      </c>
      <c r="J191" t="str">
        <f>TEXT(DAY(Tabla1[[#This Row],[Date]]),"dddd")</f>
        <v>domingo</v>
      </c>
      <c r="K191">
        <f>MONTH(Tabla1[[#This Row],[Date]])</f>
        <v>4</v>
      </c>
    </row>
    <row r="192" spans="1:11" x14ac:dyDescent="0.25">
      <c r="A192" s="5">
        <v>45411</v>
      </c>
      <c r="B192" t="s">
        <v>10</v>
      </c>
      <c r="C192">
        <v>5</v>
      </c>
      <c r="E192" t="s">
        <v>11</v>
      </c>
      <c r="F192" t="s">
        <v>86</v>
      </c>
      <c r="G192" t="s">
        <v>70</v>
      </c>
      <c r="H192">
        <f>Tabla1[[#This Row],[Credit]]-Tabla1[[#This Row],[Debit]]</f>
        <v>-5</v>
      </c>
      <c r="I192" t="str">
        <f>TEXT(Tabla1[[#This Row],[Date]],"mmmm")</f>
        <v>abril</v>
      </c>
      <c r="J192" t="str">
        <f>TEXT(DAY(Tabla1[[#This Row],[Date]]),"dddd")</f>
        <v>domingo</v>
      </c>
      <c r="K192">
        <f>MONTH(Tabla1[[#This Row],[Date]])</f>
        <v>4</v>
      </c>
    </row>
    <row r="193" spans="1:11" x14ac:dyDescent="0.25">
      <c r="A193" s="5">
        <v>45412</v>
      </c>
      <c r="B193" t="s">
        <v>10</v>
      </c>
      <c r="C193">
        <v>5</v>
      </c>
      <c r="E193" t="s">
        <v>11</v>
      </c>
      <c r="F193" t="s">
        <v>86</v>
      </c>
      <c r="G193" t="s">
        <v>70</v>
      </c>
      <c r="H193">
        <f>Tabla1[[#This Row],[Credit]]-Tabla1[[#This Row],[Debit]]</f>
        <v>-5</v>
      </c>
      <c r="I193" t="str">
        <f>TEXT(Tabla1[[#This Row],[Date]],"mmmm")</f>
        <v>abril</v>
      </c>
      <c r="J193" t="str">
        <f>TEXT(DAY(Tabla1[[#This Row],[Date]]),"dddd")</f>
        <v>lunes</v>
      </c>
      <c r="K193">
        <f>MONTH(Tabla1[[#This Row],[Date]])</f>
        <v>4</v>
      </c>
    </row>
    <row r="194" spans="1:11" x14ac:dyDescent="0.25">
      <c r="A194" s="5">
        <v>45414</v>
      </c>
      <c r="B194" t="s">
        <v>10</v>
      </c>
      <c r="C194">
        <v>5</v>
      </c>
      <c r="E194" t="s">
        <v>11</v>
      </c>
      <c r="F194" t="s">
        <v>86</v>
      </c>
      <c r="G194" t="s">
        <v>70</v>
      </c>
      <c r="H194">
        <f>Tabla1[[#This Row],[Credit]]-Tabla1[[#This Row],[Debit]]</f>
        <v>-5</v>
      </c>
      <c r="I194" t="str">
        <f>TEXT(Tabla1[[#This Row],[Date]],"mmmm")</f>
        <v>mayo</v>
      </c>
      <c r="J194" t="str">
        <f>TEXT(DAY(Tabla1[[#This Row],[Date]]),"dddd")</f>
        <v>lunes</v>
      </c>
      <c r="K194">
        <f>MONTH(Tabla1[[#This Row],[Date]])</f>
        <v>5</v>
      </c>
    </row>
    <row r="195" spans="1:11" x14ac:dyDescent="0.25">
      <c r="A195" s="5">
        <v>45415</v>
      </c>
      <c r="B195" t="s">
        <v>7</v>
      </c>
      <c r="D195">
        <v>5000</v>
      </c>
      <c r="E195" t="s">
        <v>8</v>
      </c>
      <c r="F195" t="s">
        <v>90</v>
      </c>
      <c r="G195" t="s">
        <v>93</v>
      </c>
      <c r="H195">
        <f>Tabla1[[#This Row],[Credit]]-Tabla1[[#This Row],[Debit]]</f>
        <v>5000</v>
      </c>
      <c r="I195" t="str">
        <f>TEXT(Tabla1[[#This Row],[Date]],"mmmm")</f>
        <v>mayo</v>
      </c>
      <c r="J195" t="str">
        <f>TEXT(DAY(Tabla1[[#This Row],[Date]]),"dddd")</f>
        <v>martes</v>
      </c>
      <c r="K195">
        <f>MONTH(Tabla1[[#This Row],[Date]])</f>
        <v>5</v>
      </c>
    </row>
    <row r="196" spans="1:11" x14ac:dyDescent="0.25">
      <c r="A196" s="5">
        <v>45415</v>
      </c>
      <c r="B196" t="s">
        <v>13</v>
      </c>
      <c r="C196">
        <v>900</v>
      </c>
      <c r="E196" t="s">
        <v>94</v>
      </c>
      <c r="F196" t="s">
        <v>87</v>
      </c>
      <c r="G196" t="s">
        <v>70</v>
      </c>
      <c r="H196">
        <f>Tabla1[[#This Row],[Credit]]-Tabla1[[#This Row],[Debit]]</f>
        <v>-900</v>
      </c>
      <c r="I196" t="str">
        <f>TEXT(Tabla1[[#This Row],[Date]],"mmmm")</f>
        <v>mayo</v>
      </c>
      <c r="J196" t="str">
        <f>TEXT(DAY(Tabla1[[#This Row],[Date]]),"dddd")</f>
        <v>martes</v>
      </c>
      <c r="K196">
        <f>MONTH(Tabla1[[#This Row],[Date]])</f>
        <v>5</v>
      </c>
    </row>
    <row r="197" spans="1:11" x14ac:dyDescent="0.25">
      <c r="A197" s="5">
        <v>45415</v>
      </c>
      <c r="B197" t="s">
        <v>15</v>
      </c>
      <c r="C197">
        <v>150</v>
      </c>
      <c r="E197" t="s">
        <v>98</v>
      </c>
      <c r="F197" t="s">
        <v>89</v>
      </c>
      <c r="G197" t="s">
        <v>70</v>
      </c>
      <c r="H197">
        <f>Tabla1[[#This Row],[Credit]]-Tabla1[[#This Row],[Debit]]</f>
        <v>-150</v>
      </c>
      <c r="I197" t="str">
        <f>TEXT(Tabla1[[#This Row],[Date]],"mmmm")</f>
        <v>mayo</v>
      </c>
      <c r="J197" t="str">
        <f>TEXT(DAY(Tabla1[[#This Row],[Date]]),"dddd")</f>
        <v>martes</v>
      </c>
      <c r="K197">
        <f>MONTH(Tabla1[[#This Row],[Date]])</f>
        <v>5</v>
      </c>
    </row>
    <row r="198" spans="1:11" x14ac:dyDescent="0.25">
      <c r="A198" s="5">
        <v>45415</v>
      </c>
      <c r="B198" t="s">
        <v>10</v>
      </c>
      <c r="C198">
        <v>5</v>
      </c>
      <c r="E198" t="s">
        <v>11</v>
      </c>
      <c r="F198" t="s">
        <v>86</v>
      </c>
      <c r="G198" t="s">
        <v>70</v>
      </c>
      <c r="H198">
        <f>Tabla1[[#This Row],[Credit]]-Tabla1[[#This Row],[Debit]]</f>
        <v>-5</v>
      </c>
      <c r="I198" t="str">
        <f>TEXT(Tabla1[[#This Row],[Date]],"mmmm")</f>
        <v>mayo</v>
      </c>
      <c r="J198" t="str">
        <f>TEXT(DAY(Tabla1[[#This Row],[Date]]),"dddd")</f>
        <v>martes</v>
      </c>
      <c r="K198">
        <f>MONTH(Tabla1[[#This Row],[Date]])</f>
        <v>5</v>
      </c>
    </row>
    <row r="199" spans="1:11" x14ac:dyDescent="0.25">
      <c r="A199" s="5">
        <v>45416</v>
      </c>
      <c r="B199" t="s">
        <v>10</v>
      </c>
      <c r="C199">
        <v>5</v>
      </c>
      <c r="E199" t="s">
        <v>11</v>
      </c>
      <c r="F199" t="s">
        <v>86</v>
      </c>
      <c r="G199" t="s">
        <v>70</v>
      </c>
      <c r="H199">
        <f>Tabla1[[#This Row],[Credit]]-Tabla1[[#This Row],[Debit]]</f>
        <v>-5</v>
      </c>
      <c r="I199" t="str">
        <f>TEXT(Tabla1[[#This Row],[Date]],"mmmm")</f>
        <v>mayo</v>
      </c>
      <c r="J199" t="str">
        <f>TEXT(DAY(Tabla1[[#This Row],[Date]]),"dddd")</f>
        <v>miércoles</v>
      </c>
      <c r="K199">
        <f>MONTH(Tabla1[[#This Row],[Date]])</f>
        <v>5</v>
      </c>
    </row>
    <row r="200" spans="1:11" x14ac:dyDescent="0.25">
      <c r="A200" s="5">
        <v>45417</v>
      </c>
      <c r="B200" t="s">
        <v>10</v>
      </c>
      <c r="C200">
        <v>5</v>
      </c>
      <c r="E200" t="s">
        <v>11</v>
      </c>
      <c r="F200" t="s">
        <v>86</v>
      </c>
      <c r="G200" t="s">
        <v>70</v>
      </c>
      <c r="H200">
        <f>Tabla1[[#This Row],[Credit]]-Tabla1[[#This Row],[Debit]]</f>
        <v>-5</v>
      </c>
      <c r="I200" t="str">
        <f>TEXT(Tabla1[[#This Row],[Date]],"mmmm")</f>
        <v>mayo</v>
      </c>
      <c r="J200" t="str">
        <f>TEXT(DAY(Tabla1[[#This Row],[Date]]),"dddd")</f>
        <v>jueves</v>
      </c>
      <c r="K200">
        <f>MONTH(Tabla1[[#This Row],[Date]])</f>
        <v>5</v>
      </c>
    </row>
    <row r="201" spans="1:11" x14ac:dyDescent="0.25">
      <c r="A201" s="5">
        <v>45418</v>
      </c>
      <c r="B201" t="s">
        <v>10</v>
      </c>
      <c r="C201">
        <v>5</v>
      </c>
      <c r="E201" t="s">
        <v>11</v>
      </c>
      <c r="F201" t="s">
        <v>86</v>
      </c>
      <c r="G201" t="s">
        <v>70</v>
      </c>
      <c r="H201">
        <f>Tabla1[[#This Row],[Credit]]-Tabla1[[#This Row],[Debit]]</f>
        <v>-5</v>
      </c>
      <c r="I201" t="str">
        <f>TEXT(Tabla1[[#This Row],[Date]],"mmmm")</f>
        <v>mayo</v>
      </c>
      <c r="J201" t="str">
        <f>TEXT(DAY(Tabla1[[#This Row],[Date]]),"dddd")</f>
        <v>viernes</v>
      </c>
      <c r="K201">
        <f>MONTH(Tabla1[[#This Row],[Date]])</f>
        <v>5</v>
      </c>
    </row>
    <row r="202" spans="1:11" x14ac:dyDescent="0.25">
      <c r="A202" s="5">
        <v>45418</v>
      </c>
      <c r="B202" t="s">
        <v>17</v>
      </c>
      <c r="C202">
        <v>170</v>
      </c>
      <c r="E202" t="s">
        <v>95</v>
      </c>
      <c r="F202" t="s">
        <v>87</v>
      </c>
      <c r="G202" t="s">
        <v>70</v>
      </c>
      <c r="H202">
        <f>Tabla1[[#This Row],[Credit]]-Tabla1[[#This Row],[Debit]]</f>
        <v>-170</v>
      </c>
      <c r="I202" t="str">
        <f>TEXT(Tabla1[[#This Row],[Date]],"mmmm")</f>
        <v>mayo</v>
      </c>
      <c r="J202" t="str">
        <f>TEXT(DAY(Tabla1[[#This Row],[Date]]),"dddd")</f>
        <v>viernes</v>
      </c>
      <c r="K202">
        <f>MONTH(Tabla1[[#This Row],[Date]])</f>
        <v>5</v>
      </c>
    </row>
    <row r="203" spans="1:11" x14ac:dyDescent="0.25">
      <c r="A203" s="5">
        <v>45421</v>
      </c>
      <c r="B203" t="s">
        <v>19</v>
      </c>
      <c r="C203">
        <v>54.1</v>
      </c>
      <c r="E203" t="s">
        <v>20</v>
      </c>
      <c r="F203" t="s">
        <v>87</v>
      </c>
      <c r="G203" t="s">
        <v>70</v>
      </c>
      <c r="H203">
        <f>Tabla1[[#This Row],[Credit]]-Tabla1[[#This Row],[Debit]]</f>
        <v>-54.1</v>
      </c>
      <c r="I203" t="str">
        <f>TEXT(Tabla1[[#This Row],[Date]],"mmmm")</f>
        <v>mayo</v>
      </c>
      <c r="J203" t="str">
        <f>TEXT(DAY(Tabla1[[#This Row],[Date]]),"dddd")</f>
        <v>lunes</v>
      </c>
      <c r="K203">
        <f>MONTH(Tabla1[[#This Row],[Date]])</f>
        <v>5</v>
      </c>
    </row>
    <row r="204" spans="1:11" x14ac:dyDescent="0.25">
      <c r="A204" s="5">
        <v>45421</v>
      </c>
      <c r="B204" t="s">
        <v>10</v>
      </c>
      <c r="C204">
        <v>5</v>
      </c>
      <c r="E204" t="s">
        <v>11</v>
      </c>
      <c r="F204" t="s">
        <v>86</v>
      </c>
      <c r="G204" t="s">
        <v>70</v>
      </c>
      <c r="H204">
        <f>Tabla1[[#This Row],[Credit]]-Tabla1[[#This Row],[Debit]]</f>
        <v>-5</v>
      </c>
      <c r="I204" t="str">
        <f>TEXT(Tabla1[[#This Row],[Date]],"mmmm")</f>
        <v>mayo</v>
      </c>
      <c r="J204" t="str">
        <f>TEXT(DAY(Tabla1[[#This Row],[Date]]),"dddd")</f>
        <v>lunes</v>
      </c>
      <c r="K204">
        <f>MONTH(Tabla1[[#This Row],[Date]])</f>
        <v>5</v>
      </c>
    </row>
    <row r="205" spans="1:11" x14ac:dyDescent="0.25">
      <c r="A205" s="5">
        <v>45422</v>
      </c>
      <c r="B205" t="s">
        <v>10</v>
      </c>
      <c r="C205">
        <v>5</v>
      </c>
      <c r="E205" t="s">
        <v>11</v>
      </c>
      <c r="F205" t="s">
        <v>86</v>
      </c>
      <c r="G205" t="s">
        <v>70</v>
      </c>
      <c r="H205">
        <f>Tabla1[[#This Row],[Credit]]-Tabla1[[#This Row],[Debit]]</f>
        <v>-5</v>
      </c>
      <c r="I205" t="str">
        <f>TEXT(Tabla1[[#This Row],[Date]],"mmmm")</f>
        <v>mayo</v>
      </c>
      <c r="J205" t="str">
        <f>TEXT(DAY(Tabla1[[#This Row],[Date]]),"dddd")</f>
        <v>martes</v>
      </c>
      <c r="K205">
        <f>MONTH(Tabla1[[#This Row],[Date]])</f>
        <v>5</v>
      </c>
    </row>
    <row r="206" spans="1:11" x14ac:dyDescent="0.25">
      <c r="A206" s="5">
        <v>45423</v>
      </c>
      <c r="B206" t="s">
        <v>21</v>
      </c>
      <c r="C206">
        <v>81</v>
      </c>
      <c r="E206" t="s">
        <v>96</v>
      </c>
      <c r="F206" t="s">
        <v>89</v>
      </c>
      <c r="G206" t="s">
        <v>70</v>
      </c>
      <c r="H206">
        <f>Tabla1[[#This Row],[Credit]]-Tabla1[[#This Row],[Debit]]</f>
        <v>-81</v>
      </c>
      <c r="I206" t="str">
        <f>TEXT(Tabla1[[#This Row],[Date]],"mmmm")</f>
        <v>mayo</v>
      </c>
      <c r="J206" t="str">
        <f>TEXT(DAY(Tabla1[[#This Row],[Date]]),"dddd")</f>
        <v>miércoles</v>
      </c>
      <c r="K206">
        <f>MONTH(Tabla1[[#This Row],[Date]])</f>
        <v>5</v>
      </c>
    </row>
    <row r="207" spans="1:11" x14ac:dyDescent="0.25">
      <c r="A207" s="5">
        <v>45423</v>
      </c>
      <c r="B207" t="s">
        <v>10</v>
      </c>
      <c r="C207">
        <v>5</v>
      </c>
      <c r="E207" t="s">
        <v>11</v>
      </c>
      <c r="F207" t="s">
        <v>86</v>
      </c>
      <c r="G207" t="s">
        <v>70</v>
      </c>
      <c r="H207">
        <f>Tabla1[[#This Row],[Credit]]-Tabla1[[#This Row],[Debit]]</f>
        <v>-5</v>
      </c>
      <c r="I207" t="str">
        <f>TEXT(Tabla1[[#This Row],[Date]],"mmmm")</f>
        <v>mayo</v>
      </c>
      <c r="J207" t="str">
        <f>TEXT(DAY(Tabla1[[#This Row],[Date]]),"dddd")</f>
        <v>miércoles</v>
      </c>
      <c r="K207">
        <f>MONTH(Tabla1[[#This Row],[Date]])</f>
        <v>5</v>
      </c>
    </row>
    <row r="208" spans="1:11" x14ac:dyDescent="0.25">
      <c r="A208" s="5">
        <v>45424</v>
      </c>
      <c r="B208" t="s">
        <v>10</v>
      </c>
      <c r="C208">
        <v>5</v>
      </c>
      <c r="E208" t="s">
        <v>11</v>
      </c>
      <c r="F208" t="s">
        <v>86</v>
      </c>
      <c r="G208" t="s">
        <v>70</v>
      </c>
      <c r="H208">
        <f>Tabla1[[#This Row],[Credit]]-Tabla1[[#This Row],[Debit]]</f>
        <v>-5</v>
      </c>
      <c r="I208" t="str">
        <f>TEXT(Tabla1[[#This Row],[Date]],"mmmm")</f>
        <v>mayo</v>
      </c>
      <c r="J208" t="str">
        <f>TEXT(DAY(Tabla1[[#This Row],[Date]]),"dddd")</f>
        <v>jueves</v>
      </c>
      <c r="K208">
        <f>MONTH(Tabla1[[#This Row],[Date]])</f>
        <v>5</v>
      </c>
    </row>
    <row r="209" spans="1:11" x14ac:dyDescent="0.25">
      <c r="A209" s="5">
        <v>45425</v>
      </c>
      <c r="B209" t="s">
        <v>17</v>
      </c>
      <c r="C209">
        <v>139.1</v>
      </c>
      <c r="E209" t="s">
        <v>95</v>
      </c>
      <c r="F209" t="s">
        <v>87</v>
      </c>
      <c r="G209" t="s">
        <v>70</v>
      </c>
      <c r="H209">
        <f>Tabla1[[#This Row],[Credit]]-Tabla1[[#This Row],[Debit]]</f>
        <v>-139.1</v>
      </c>
      <c r="I209" t="str">
        <f>TEXT(Tabla1[[#This Row],[Date]],"mmmm")</f>
        <v>mayo</v>
      </c>
      <c r="J209" t="str">
        <f>TEXT(DAY(Tabla1[[#This Row],[Date]]),"dddd")</f>
        <v>viernes</v>
      </c>
      <c r="K209">
        <f>MONTH(Tabla1[[#This Row],[Date]])</f>
        <v>5</v>
      </c>
    </row>
    <row r="210" spans="1:11" x14ac:dyDescent="0.25">
      <c r="A210" s="5">
        <v>45425</v>
      </c>
      <c r="B210" t="s">
        <v>10</v>
      </c>
      <c r="C210">
        <v>5</v>
      </c>
      <c r="E210" t="s">
        <v>11</v>
      </c>
      <c r="F210" t="s">
        <v>86</v>
      </c>
      <c r="G210" t="s">
        <v>70</v>
      </c>
      <c r="H210">
        <f>Tabla1[[#This Row],[Credit]]-Tabla1[[#This Row],[Debit]]</f>
        <v>-5</v>
      </c>
      <c r="I210" t="str">
        <f>TEXT(Tabla1[[#This Row],[Date]],"mmmm")</f>
        <v>mayo</v>
      </c>
      <c r="J210" t="str">
        <f>TEXT(DAY(Tabla1[[#This Row],[Date]]),"dddd")</f>
        <v>viernes</v>
      </c>
      <c r="K210">
        <f>MONTH(Tabla1[[#This Row],[Date]])</f>
        <v>5</v>
      </c>
    </row>
    <row r="211" spans="1:11" x14ac:dyDescent="0.25">
      <c r="A211" s="5">
        <v>45426</v>
      </c>
      <c r="B211" t="s">
        <v>10</v>
      </c>
      <c r="C211">
        <v>5</v>
      </c>
      <c r="E211" t="s">
        <v>11</v>
      </c>
      <c r="F211" t="s">
        <v>86</v>
      </c>
      <c r="G211" t="s">
        <v>70</v>
      </c>
      <c r="H211">
        <f>Tabla1[[#This Row],[Credit]]-Tabla1[[#This Row],[Debit]]</f>
        <v>-5</v>
      </c>
      <c r="I211" t="str">
        <f>TEXT(Tabla1[[#This Row],[Date]],"mmmm")</f>
        <v>mayo</v>
      </c>
      <c r="J211" t="str">
        <f>TEXT(DAY(Tabla1[[#This Row],[Date]]),"dddd")</f>
        <v>sábado</v>
      </c>
      <c r="K211">
        <f>MONTH(Tabla1[[#This Row],[Date]])</f>
        <v>5</v>
      </c>
    </row>
    <row r="212" spans="1:11" x14ac:dyDescent="0.25">
      <c r="A212" s="5">
        <v>45426</v>
      </c>
      <c r="B212" t="s">
        <v>22</v>
      </c>
      <c r="C212">
        <v>43.9</v>
      </c>
      <c r="E212" t="s">
        <v>23</v>
      </c>
      <c r="F212" t="s">
        <v>91</v>
      </c>
      <c r="G212" t="s">
        <v>70</v>
      </c>
      <c r="H212">
        <f>Tabla1[[#This Row],[Credit]]-Tabla1[[#This Row],[Debit]]</f>
        <v>-43.9</v>
      </c>
      <c r="I212" t="str">
        <f>TEXT(Tabla1[[#This Row],[Date]],"mmmm")</f>
        <v>mayo</v>
      </c>
      <c r="J212" t="str">
        <f>TEXT(DAY(Tabla1[[#This Row],[Date]]),"dddd")</f>
        <v>sábado</v>
      </c>
      <c r="K212">
        <f>MONTH(Tabla1[[#This Row],[Date]])</f>
        <v>5</v>
      </c>
    </row>
    <row r="213" spans="1:11" x14ac:dyDescent="0.25">
      <c r="A213" s="5">
        <v>45426</v>
      </c>
      <c r="B213" t="s">
        <v>24</v>
      </c>
      <c r="C213">
        <v>101.80000000000001</v>
      </c>
      <c r="E213" t="s">
        <v>97</v>
      </c>
      <c r="F213" t="s">
        <v>91</v>
      </c>
      <c r="G213" t="s">
        <v>70</v>
      </c>
      <c r="H213">
        <f>Tabla1[[#This Row],[Credit]]-Tabla1[[#This Row],[Debit]]</f>
        <v>-101.80000000000001</v>
      </c>
      <c r="I213" t="str">
        <f>TEXT(Tabla1[[#This Row],[Date]],"mmmm")</f>
        <v>mayo</v>
      </c>
      <c r="J213" t="str">
        <f>TEXT(DAY(Tabla1[[#This Row],[Date]]),"dddd")</f>
        <v>sábado</v>
      </c>
      <c r="K213">
        <f>MONTH(Tabla1[[#This Row],[Date]])</f>
        <v>5</v>
      </c>
    </row>
    <row r="214" spans="1:11" x14ac:dyDescent="0.25">
      <c r="A214" s="5">
        <v>45426</v>
      </c>
      <c r="B214" t="s">
        <v>26</v>
      </c>
      <c r="C214">
        <v>55.9</v>
      </c>
      <c r="E214" t="s">
        <v>27</v>
      </c>
      <c r="F214" t="s">
        <v>86</v>
      </c>
      <c r="G214" t="s">
        <v>70</v>
      </c>
      <c r="H214">
        <f>Tabla1[[#This Row],[Credit]]-Tabla1[[#This Row],[Debit]]</f>
        <v>-55.9</v>
      </c>
      <c r="I214" t="str">
        <f>TEXT(Tabla1[[#This Row],[Date]],"mmmm")</f>
        <v>mayo</v>
      </c>
      <c r="J214" t="str">
        <f>TEXT(DAY(Tabla1[[#This Row],[Date]]),"dddd")</f>
        <v>sábado</v>
      </c>
      <c r="K214">
        <f>MONTH(Tabla1[[#This Row],[Date]])</f>
        <v>5</v>
      </c>
    </row>
    <row r="215" spans="1:11" x14ac:dyDescent="0.25">
      <c r="A215" s="5">
        <v>45427</v>
      </c>
      <c r="B215" t="s">
        <v>28</v>
      </c>
      <c r="C215">
        <v>32</v>
      </c>
      <c r="E215" t="s">
        <v>29</v>
      </c>
      <c r="F215" t="s">
        <v>89</v>
      </c>
      <c r="G215" t="s">
        <v>70</v>
      </c>
      <c r="H215">
        <f>Tabla1[[#This Row],[Credit]]-Tabla1[[#This Row],[Debit]]</f>
        <v>-32</v>
      </c>
      <c r="I215" t="str">
        <f>TEXT(Tabla1[[#This Row],[Date]],"mmmm")</f>
        <v>mayo</v>
      </c>
      <c r="J215" t="str">
        <f>TEXT(DAY(Tabla1[[#This Row],[Date]]),"dddd")</f>
        <v>domingo</v>
      </c>
      <c r="K215">
        <f>MONTH(Tabla1[[#This Row],[Date]])</f>
        <v>5</v>
      </c>
    </row>
    <row r="216" spans="1:11" x14ac:dyDescent="0.25">
      <c r="A216" s="5">
        <v>45428</v>
      </c>
      <c r="B216" t="s">
        <v>30</v>
      </c>
      <c r="D216">
        <v>1000</v>
      </c>
      <c r="E216" t="s">
        <v>31</v>
      </c>
      <c r="F216" t="s">
        <v>92</v>
      </c>
      <c r="G216" t="s">
        <v>93</v>
      </c>
      <c r="H216">
        <f>Tabla1[[#This Row],[Credit]]-Tabla1[[#This Row],[Debit]]</f>
        <v>1000</v>
      </c>
      <c r="I216" t="str">
        <f>TEXT(Tabla1[[#This Row],[Date]],"mmmm")</f>
        <v>mayo</v>
      </c>
      <c r="J216" t="str">
        <f>TEXT(DAY(Tabla1[[#This Row],[Date]]),"dddd")</f>
        <v>lunes</v>
      </c>
      <c r="K216">
        <f>MONTH(Tabla1[[#This Row],[Date]])</f>
        <v>5</v>
      </c>
    </row>
    <row r="217" spans="1:11" x14ac:dyDescent="0.25">
      <c r="A217" s="5">
        <v>45428</v>
      </c>
      <c r="B217" t="s">
        <v>10</v>
      </c>
      <c r="C217">
        <v>5</v>
      </c>
      <c r="E217" t="s">
        <v>11</v>
      </c>
      <c r="F217" t="s">
        <v>86</v>
      </c>
      <c r="G217" t="s">
        <v>70</v>
      </c>
      <c r="H217">
        <f>Tabla1[[#This Row],[Credit]]-Tabla1[[#This Row],[Debit]]</f>
        <v>-5</v>
      </c>
      <c r="I217" t="str">
        <f>TEXT(Tabla1[[#This Row],[Date]],"mmmm")</f>
        <v>mayo</v>
      </c>
      <c r="J217" t="str">
        <f>TEXT(DAY(Tabla1[[#This Row],[Date]]),"dddd")</f>
        <v>lunes</v>
      </c>
      <c r="K217">
        <f>MONTH(Tabla1[[#This Row],[Date]])</f>
        <v>5</v>
      </c>
    </row>
    <row r="218" spans="1:11" x14ac:dyDescent="0.25">
      <c r="A218" s="5">
        <v>45429</v>
      </c>
      <c r="B218" t="s">
        <v>10</v>
      </c>
      <c r="C218">
        <v>5</v>
      </c>
      <c r="E218" t="s">
        <v>11</v>
      </c>
      <c r="F218" t="s">
        <v>86</v>
      </c>
      <c r="G218" t="s">
        <v>70</v>
      </c>
      <c r="H218">
        <f>Tabla1[[#This Row],[Credit]]-Tabla1[[#This Row],[Debit]]</f>
        <v>-5</v>
      </c>
      <c r="I218" t="str">
        <f>TEXT(Tabla1[[#This Row],[Date]],"mmmm")</f>
        <v>mayo</v>
      </c>
      <c r="J218" t="str">
        <f>TEXT(DAY(Tabla1[[#This Row],[Date]]),"dddd")</f>
        <v>martes</v>
      </c>
      <c r="K218">
        <f>MONTH(Tabla1[[#This Row],[Date]])</f>
        <v>5</v>
      </c>
    </row>
    <row r="219" spans="1:11" x14ac:dyDescent="0.25">
      <c r="A219" s="5">
        <v>45429</v>
      </c>
      <c r="B219" t="s">
        <v>44</v>
      </c>
      <c r="C219">
        <v>75</v>
      </c>
      <c r="E219" t="s">
        <v>45</v>
      </c>
      <c r="F219" t="s">
        <v>88</v>
      </c>
      <c r="G219" t="s">
        <v>70</v>
      </c>
      <c r="H219">
        <f>Tabla1[[#This Row],[Credit]]-Tabla1[[#This Row],[Debit]]</f>
        <v>-75</v>
      </c>
      <c r="I219" t="str">
        <f>TEXT(Tabla1[[#This Row],[Date]],"mmmm")</f>
        <v>mayo</v>
      </c>
      <c r="J219" t="str">
        <f>TEXT(DAY(Tabla1[[#This Row],[Date]]),"dddd")</f>
        <v>martes</v>
      </c>
      <c r="K219">
        <f>MONTH(Tabla1[[#This Row],[Date]])</f>
        <v>5</v>
      </c>
    </row>
    <row r="220" spans="1:11" x14ac:dyDescent="0.25">
      <c r="A220" s="5">
        <v>45429</v>
      </c>
      <c r="B220" t="s">
        <v>33</v>
      </c>
      <c r="C220">
        <v>40</v>
      </c>
      <c r="E220" t="s">
        <v>33</v>
      </c>
      <c r="F220" t="s">
        <v>87</v>
      </c>
      <c r="G220" t="s">
        <v>70</v>
      </c>
      <c r="H220">
        <f>Tabla1[[#This Row],[Credit]]-Tabla1[[#This Row],[Debit]]</f>
        <v>-40</v>
      </c>
      <c r="I220" t="str">
        <f>TEXT(Tabla1[[#This Row],[Date]],"mmmm")</f>
        <v>mayo</v>
      </c>
      <c r="J220" t="str">
        <f>TEXT(DAY(Tabla1[[#This Row],[Date]]),"dddd")</f>
        <v>martes</v>
      </c>
      <c r="K220">
        <f>MONTH(Tabla1[[#This Row],[Date]])</f>
        <v>5</v>
      </c>
    </row>
    <row r="221" spans="1:11" x14ac:dyDescent="0.25">
      <c r="A221" s="5">
        <v>45430</v>
      </c>
      <c r="B221" t="s">
        <v>34</v>
      </c>
      <c r="C221">
        <v>49</v>
      </c>
      <c r="E221" t="s">
        <v>35</v>
      </c>
      <c r="F221" t="s">
        <v>91</v>
      </c>
      <c r="G221" t="s">
        <v>70</v>
      </c>
      <c r="H221">
        <f>Tabla1[[#This Row],[Credit]]-Tabla1[[#This Row],[Debit]]</f>
        <v>-49</v>
      </c>
      <c r="I221" t="str">
        <f>TEXT(Tabla1[[#This Row],[Date]],"mmmm")</f>
        <v>mayo</v>
      </c>
      <c r="J221" t="str">
        <f>TEXT(DAY(Tabla1[[#This Row],[Date]]),"dddd")</f>
        <v>miércoles</v>
      </c>
      <c r="K221">
        <f>MONTH(Tabla1[[#This Row],[Date]])</f>
        <v>5</v>
      </c>
    </row>
    <row r="222" spans="1:11" x14ac:dyDescent="0.25">
      <c r="A222" s="5">
        <v>45430</v>
      </c>
      <c r="B222" t="s">
        <v>36</v>
      </c>
      <c r="C222">
        <v>35</v>
      </c>
      <c r="E222" t="s">
        <v>23</v>
      </c>
      <c r="F222" t="s">
        <v>91</v>
      </c>
      <c r="G222" t="s">
        <v>70</v>
      </c>
      <c r="H222">
        <f>Tabla1[[#This Row],[Credit]]-Tabla1[[#This Row],[Debit]]</f>
        <v>-35</v>
      </c>
      <c r="I222" t="str">
        <f>TEXT(Tabla1[[#This Row],[Date]],"mmmm")</f>
        <v>mayo</v>
      </c>
      <c r="J222" t="str">
        <f>TEXT(DAY(Tabla1[[#This Row],[Date]]),"dddd")</f>
        <v>miércoles</v>
      </c>
      <c r="K222">
        <f>MONTH(Tabla1[[#This Row],[Date]])</f>
        <v>5</v>
      </c>
    </row>
    <row r="223" spans="1:11" x14ac:dyDescent="0.25">
      <c r="A223" s="5">
        <v>45430</v>
      </c>
      <c r="B223" t="s">
        <v>10</v>
      </c>
      <c r="C223">
        <v>5</v>
      </c>
      <c r="E223" t="s">
        <v>11</v>
      </c>
      <c r="F223" t="s">
        <v>86</v>
      </c>
      <c r="G223" t="s">
        <v>70</v>
      </c>
      <c r="H223">
        <f>Tabla1[[#This Row],[Credit]]-Tabla1[[#This Row],[Debit]]</f>
        <v>-5</v>
      </c>
      <c r="I223" t="str">
        <f>TEXT(Tabla1[[#This Row],[Date]],"mmmm")</f>
        <v>mayo</v>
      </c>
      <c r="J223" t="str">
        <f>TEXT(DAY(Tabla1[[#This Row],[Date]]),"dddd")</f>
        <v>miércoles</v>
      </c>
      <c r="K223">
        <f>MONTH(Tabla1[[#This Row],[Date]])</f>
        <v>5</v>
      </c>
    </row>
    <row r="224" spans="1:11" x14ac:dyDescent="0.25">
      <c r="A224" s="5">
        <v>45431</v>
      </c>
      <c r="B224" t="s">
        <v>10</v>
      </c>
      <c r="C224">
        <v>5</v>
      </c>
      <c r="E224" t="s">
        <v>11</v>
      </c>
      <c r="F224" t="s">
        <v>86</v>
      </c>
      <c r="G224" t="s">
        <v>70</v>
      </c>
      <c r="H224">
        <f>Tabla1[[#This Row],[Credit]]-Tabla1[[#This Row],[Debit]]</f>
        <v>-5</v>
      </c>
      <c r="I224" t="str">
        <f>TEXT(Tabla1[[#This Row],[Date]],"mmmm")</f>
        <v>mayo</v>
      </c>
      <c r="J224" t="str">
        <f>TEXT(DAY(Tabla1[[#This Row],[Date]]),"dddd")</f>
        <v>jueves</v>
      </c>
      <c r="K224">
        <f>MONTH(Tabla1[[#This Row],[Date]])</f>
        <v>5</v>
      </c>
    </row>
    <row r="225" spans="1:11" x14ac:dyDescent="0.25">
      <c r="A225" s="5">
        <v>45432</v>
      </c>
      <c r="B225" t="s">
        <v>10</v>
      </c>
      <c r="C225">
        <v>5</v>
      </c>
      <c r="E225" t="s">
        <v>11</v>
      </c>
      <c r="F225" t="s">
        <v>86</v>
      </c>
      <c r="G225" t="s">
        <v>70</v>
      </c>
      <c r="H225">
        <f>Tabla1[[#This Row],[Credit]]-Tabla1[[#This Row],[Debit]]</f>
        <v>-5</v>
      </c>
      <c r="I225" t="str">
        <f>TEXT(Tabla1[[#This Row],[Date]],"mmmm")</f>
        <v>mayo</v>
      </c>
      <c r="J225" t="str">
        <f>TEXT(DAY(Tabla1[[#This Row],[Date]]),"dddd")</f>
        <v>viernes</v>
      </c>
      <c r="K225">
        <f>MONTH(Tabla1[[#This Row],[Date]])</f>
        <v>5</v>
      </c>
    </row>
    <row r="226" spans="1:11" x14ac:dyDescent="0.25">
      <c r="A226" s="5">
        <v>45432</v>
      </c>
      <c r="B226" t="s">
        <v>17</v>
      </c>
      <c r="C226">
        <v>174</v>
      </c>
      <c r="E226" t="s">
        <v>95</v>
      </c>
      <c r="F226" t="s">
        <v>87</v>
      </c>
      <c r="G226" t="s">
        <v>70</v>
      </c>
      <c r="H226">
        <f>Tabla1[[#This Row],[Credit]]-Tabla1[[#This Row],[Debit]]</f>
        <v>-174</v>
      </c>
      <c r="I226" t="str">
        <f>TEXT(Tabla1[[#This Row],[Date]],"mmmm")</f>
        <v>mayo</v>
      </c>
      <c r="J226" t="str">
        <f>TEXT(DAY(Tabla1[[#This Row],[Date]]),"dddd")</f>
        <v>viernes</v>
      </c>
      <c r="K226">
        <f>MONTH(Tabla1[[#This Row],[Date]])</f>
        <v>5</v>
      </c>
    </row>
    <row r="227" spans="1:11" x14ac:dyDescent="0.25">
      <c r="A227" s="5">
        <v>45433</v>
      </c>
      <c r="B227" t="s">
        <v>37</v>
      </c>
      <c r="C227">
        <v>41.1</v>
      </c>
      <c r="E227" t="s">
        <v>27</v>
      </c>
      <c r="F227" t="s">
        <v>86</v>
      </c>
      <c r="G227" t="s">
        <v>70</v>
      </c>
      <c r="H227">
        <f>Tabla1[[#This Row],[Credit]]-Tabla1[[#This Row],[Debit]]</f>
        <v>-41.1</v>
      </c>
      <c r="I227" t="str">
        <f>TEXT(Tabla1[[#This Row],[Date]],"mmmm")</f>
        <v>mayo</v>
      </c>
      <c r="J227" t="str">
        <f>TEXT(DAY(Tabla1[[#This Row],[Date]]),"dddd")</f>
        <v>sábado</v>
      </c>
      <c r="K227">
        <f>MONTH(Tabla1[[#This Row],[Date]])</f>
        <v>5</v>
      </c>
    </row>
    <row r="228" spans="1:11" x14ac:dyDescent="0.25">
      <c r="A228" s="5">
        <v>45434</v>
      </c>
      <c r="B228" t="s">
        <v>38</v>
      </c>
      <c r="C228">
        <v>16.2</v>
      </c>
      <c r="E228" t="s">
        <v>27</v>
      </c>
      <c r="F228" t="s">
        <v>86</v>
      </c>
      <c r="G228" t="s">
        <v>70</v>
      </c>
      <c r="H228">
        <f>Tabla1[[#This Row],[Credit]]-Tabla1[[#This Row],[Debit]]</f>
        <v>-16.2</v>
      </c>
      <c r="I228" t="str">
        <f>TEXT(Tabla1[[#This Row],[Date]],"mmmm")</f>
        <v>mayo</v>
      </c>
      <c r="J228" t="str">
        <f>TEXT(DAY(Tabla1[[#This Row],[Date]]),"dddd")</f>
        <v>domingo</v>
      </c>
      <c r="K228">
        <f>MONTH(Tabla1[[#This Row],[Date]])</f>
        <v>5</v>
      </c>
    </row>
    <row r="229" spans="1:11" x14ac:dyDescent="0.25">
      <c r="A229" s="5">
        <v>45435</v>
      </c>
      <c r="B229" t="s">
        <v>39</v>
      </c>
      <c r="C229">
        <v>55</v>
      </c>
      <c r="E229" t="s">
        <v>40</v>
      </c>
      <c r="F229" t="s">
        <v>85</v>
      </c>
      <c r="G229" t="s">
        <v>70</v>
      </c>
      <c r="H229">
        <f>Tabla1[[#This Row],[Credit]]-Tabla1[[#This Row],[Debit]]</f>
        <v>-55</v>
      </c>
      <c r="I229" t="str">
        <f>TEXT(Tabla1[[#This Row],[Date]],"mmmm")</f>
        <v>mayo</v>
      </c>
      <c r="J229" t="str">
        <f>TEXT(DAY(Tabla1[[#This Row],[Date]]),"dddd")</f>
        <v>lunes</v>
      </c>
      <c r="K229">
        <f>MONTH(Tabla1[[#This Row],[Date]])</f>
        <v>5</v>
      </c>
    </row>
    <row r="230" spans="1:11" x14ac:dyDescent="0.25">
      <c r="A230" s="5">
        <v>45435</v>
      </c>
      <c r="B230" t="s">
        <v>21</v>
      </c>
      <c r="C230">
        <v>67</v>
      </c>
      <c r="E230" t="s">
        <v>96</v>
      </c>
      <c r="F230" t="s">
        <v>89</v>
      </c>
      <c r="G230" t="s">
        <v>70</v>
      </c>
      <c r="H230">
        <f>Tabla1[[#This Row],[Credit]]-Tabla1[[#This Row],[Debit]]</f>
        <v>-67</v>
      </c>
      <c r="I230" t="str">
        <f>TEXT(Tabla1[[#This Row],[Date]],"mmmm")</f>
        <v>mayo</v>
      </c>
      <c r="J230" t="str">
        <f>TEXT(DAY(Tabla1[[#This Row],[Date]]),"dddd")</f>
        <v>lunes</v>
      </c>
      <c r="K230">
        <f>MONTH(Tabla1[[#This Row],[Date]])</f>
        <v>5</v>
      </c>
    </row>
    <row r="231" spans="1:11" x14ac:dyDescent="0.25">
      <c r="A231" s="5">
        <v>45435</v>
      </c>
      <c r="B231" t="s">
        <v>10</v>
      </c>
      <c r="C231">
        <v>5</v>
      </c>
      <c r="E231" t="s">
        <v>11</v>
      </c>
      <c r="F231" t="s">
        <v>86</v>
      </c>
      <c r="G231" t="s">
        <v>70</v>
      </c>
      <c r="H231">
        <f>Tabla1[[#This Row],[Credit]]-Tabla1[[#This Row],[Debit]]</f>
        <v>-5</v>
      </c>
      <c r="I231" t="str">
        <f>TEXT(Tabla1[[#This Row],[Date]],"mmmm")</f>
        <v>mayo</v>
      </c>
      <c r="J231" t="str">
        <f>TEXT(DAY(Tabla1[[#This Row],[Date]]),"dddd")</f>
        <v>lunes</v>
      </c>
      <c r="K231">
        <f>MONTH(Tabla1[[#This Row],[Date]])</f>
        <v>5</v>
      </c>
    </row>
    <row r="232" spans="1:11" x14ac:dyDescent="0.25">
      <c r="A232" s="5">
        <v>45436</v>
      </c>
      <c r="B232" t="s">
        <v>10</v>
      </c>
      <c r="C232">
        <v>5</v>
      </c>
      <c r="E232" t="s">
        <v>11</v>
      </c>
      <c r="F232" t="s">
        <v>86</v>
      </c>
      <c r="G232" t="s">
        <v>70</v>
      </c>
      <c r="H232">
        <f>Tabla1[[#This Row],[Credit]]-Tabla1[[#This Row],[Debit]]</f>
        <v>-5</v>
      </c>
      <c r="I232" t="str">
        <f>TEXT(Tabla1[[#This Row],[Date]],"mmmm")</f>
        <v>mayo</v>
      </c>
      <c r="J232" t="str">
        <f>TEXT(DAY(Tabla1[[#This Row],[Date]]),"dddd")</f>
        <v>martes</v>
      </c>
      <c r="K232">
        <f>MONTH(Tabla1[[#This Row],[Date]])</f>
        <v>5</v>
      </c>
    </row>
    <row r="233" spans="1:11" x14ac:dyDescent="0.25">
      <c r="A233" s="5">
        <v>45437</v>
      </c>
      <c r="B233" t="s">
        <v>10</v>
      </c>
      <c r="C233">
        <v>5</v>
      </c>
      <c r="E233" t="s">
        <v>11</v>
      </c>
      <c r="F233" t="s">
        <v>86</v>
      </c>
      <c r="G233" t="s">
        <v>70</v>
      </c>
      <c r="H233">
        <f>Tabla1[[#This Row],[Credit]]-Tabla1[[#This Row],[Debit]]</f>
        <v>-5</v>
      </c>
      <c r="I233" t="str">
        <f>TEXT(Tabla1[[#This Row],[Date]],"mmmm")</f>
        <v>mayo</v>
      </c>
      <c r="J233" t="str">
        <f>TEXT(DAY(Tabla1[[#This Row],[Date]]),"dddd")</f>
        <v>miércoles</v>
      </c>
      <c r="K233">
        <f>MONTH(Tabla1[[#This Row],[Date]])</f>
        <v>5</v>
      </c>
    </row>
    <row r="234" spans="1:11" x14ac:dyDescent="0.25">
      <c r="A234" s="5">
        <v>45438</v>
      </c>
      <c r="B234" t="s">
        <v>10</v>
      </c>
      <c r="C234">
        <v>5</v>
      </c>
      <c r="E234" t="s">
        <v>11</v>
      </c>
      <c r="F234" t="s">
        <v>86</v>
      </c>
      <c r="G234" t="s">
        <v>70</v>
      </c>
      <c r="H234">
        <f>Tabla1[[#This Row],[Credit]]-Tabla1[[#This Row],[Debit]]</f>
        <v>-5</v>
      </c>
      <c r="I234" t="str">
        <f>TEXT(Tabla1[[#This Row],[Date]],"mmmm")</f>
        <v>mayo</v>
      </c>
      <c r="J234" t="str">
        <f>TEXT(DAY(Tabla1[[#This Row],[Date]]),"dddd")</f>
        <v>jueves</v>
      </c>
      <c r="K234">
        <f>MONTH(Tabla1[[#This Row],[Date]])</f>
        <v>5</v>
      </c>
    </row>
    <row r="235" spans="1:11" x14ac:dyDescent="0.25">
      <c r="A235" s="5">
        <v>45439</v>
      </c>
      <c r="B235" t="s">
        <v>10</v>
      </c>
      <c r="C235">
        <v>5</v>
      </c>
      <c r="E235" t="s">
        <v>11</v>
      </c>
      <c r="F235" t="s">
        <v>86</v>
      </c>
      <c r="G235" t="s">
        <v>70</v>
      </c>
      <c r="H235">
        <f>Tabla1[[#This Row],[Credit]]-Tabla1[[#This Row],[Debit]]</f>
        <v>-5</v>
      </c>
      <c r="I235" t="str">
        <f>TEXT(Tabla1[[#This Row],[Date]],"mmmm")</f>
        <v>mayo</v>
      </c>
      <c r="J235" t="str">
        <f>TEXT(DAY(Tabla1[[#This Row],[Date]]),"dddd")</f>
        <v>viernes</v>
      </c>
      <c r="K235">
        <f>MONTH(Tabla1[[#This Row],[Date]])</f>
        <v>5</v>
      </c>
    </row>
    <row r="236" spans="1:11" x14ac:dyDescent="0.25">
      <c r="A236" s="5">
        <v>45439</v>
      </c>
      <c r="B236" t="s">
        <v>17</v>
      </c>
      <c r="C236">
        <v>165.8</v>
      </c>
      <c r="E236" t="s">
        <v>95</v>
      </c>
      <c r="F236" t="s">
        <v>87</v>
      </c>
      <c r="G236" t="s">
        <v>70</v>
      </c>
      <c r="H236">
        <f>Tabla1[[#This Row],[Credit]]-Tabla1[[#This Row],[Debit]]</f>
        <v>-165.8</v>
      </c>
      <c r="I236" t="str">
        <f>TEXT(Tabla1[[#This Row],[Date]],"mmmm")</f>
        <v>mayo</v>
      </c>
      <c r="J236" t="str">
        <f>TEXT(DAY(Tabla1[[#This Row],[Date]]),"dddd")</f>
        <v>viernes</v>
      </c>
      <c r="K236">
        <f>MONTH(Tabla1[[#This Row],[Date]])</f>
        <v>5</v>
      </c>
    </row>
    <row r="237" spans="1:11" x14ac:dyDescent="0.25">
      <c r="A237" s="5">
        <v>45440</v>
      </c>
      <c r="B237" t="s">
        <v>41</v>
      </c>
      <c r="C237">
        <v>128.80000000000001</v>
      </c>
      <c r="E237" t="s">
        <v>97</v>
      </c>
      <c r="F237" t="s">
        <v>91</v>
      </c>
      <c r="G237" t="s">
        <v>70</v>
      </c>
      <c r="H237">
        <f>Tabla1[[#This Row],[Credit]]-Tabla1[[#This Row],[Debit]]</f>
        <v>-128.80000000000001</v>
      </c>
      <c r="I237" t="str">
        <f>TEXT(Tabla1[[#This Row],[Date]],"mmmm")</f>
        <v>mayo</v>
      </c>
      <c r="J237" t="str">
        <f>TEXT(DAY(Tabla1[[#This Row],[Date]]),"dddd")</f>
        <v>sábado</v>
      </c>
      <c r="K237">
        <f>MONTH(Tabla1[[#This Row],[Date]])</f>
        <v>5</v>
      </c>
    </row>
    <row r="238" spans="1:11" x14ac:dyDescent="0.25">
      <c r="A238" s="5">
        <v>45440</v>
      </c>
      <c r="B238" t="s">
        <v>49</v>
      </c>
      <c r="C238">
        <v>235</v>
      </c>
      <c r="E238" t="s">
        <v>50</v>
      </c>
      <c r="F238" t="s">
        <v>91</v>
      </c>
      <c r="G238" t="s">
        <v>70</v>
      </c>
      <c r="H238">
        <f>Tabla1[[#This Row],[Credit]]-Tabla1[[#This Row],[Debit]]</f>
        <v>-235</v>
      </c>
      <c r="I238" t="str">
        <f>TEXT(Tabla1[[#This Row],[Date]],"mmmm")</f>
        <v>mayo</v>
      </c>
      <c r="J238" t="str">
        <f>TEXT(DAY(Tabla1[[#This Row],[Date]]),"dddd")</f>
        <v>sábado</v>
      </c>
      <c r="K238">
        <f>MONTH(Tabla1[[#This Row],[Date]])</f>
        <v>5</v>
      </c>
    </row>
    <row r="239" spans="1:11" x14ac:dyDescent="0.25">
      <c r="A239" s="5">
        <v>45441</v>
      </c>
      <c r="B239" t="s">
        <v>24</v>
      </c>
      <c r="C239">
        <v>149.19999999999999</v>
      </c>
      <c r="E239" t="s">
        <v>97</v>
      </c>
      <c r="F239" t="s">
        <v>91</v>
      </c>
      <c r="G239" t="s">
        <v>70</v>
      </c>
      <c r="H239">
        <f>Tabla1[[#This Row],[Credit]]-Tabla1[[#This Row],[Debit]]</f>
        <v>-149.19999999999999</v>
      </c>
      <c r="I239" t="str">
        <f>TEXT(Tabla1[[#This Row],[Date]],"mmmm")</f>
        <v>mayo</v>
      </c>
      <c r="J239" t="str">
        <f>TEXT(DAY(Tabla1[[#This Row],[Date]]),"dddd")</f>
        <v>domingo</v>
      </c>
      <c r="K239">
        <f>MONTH(Tabla1[[#This Row],[Date]])</f>
        <v>5</v>
      </c>
    </row>
    <row r="240" spans="1:11" x14ac:dyDescent="0.25">
      <c r="A240" s="5">
        <v>45441</v>
      </c>
      <c r="B240" t="s">
        <v>28</v>
      </c>
      <c r="C240">
        <v>27.200000000000003</v>
      </c>
      <c r="E240" t="s">
        <v>29</v>
      </c>
      <c r="F240" t="s">
        <v>89</v>
      </c>
      <c r="G240" t="s">
        <v>70</v>
      </c>
      <c r="H240">
        <f>Tabla1[[#This Row],[Credit]]-Tabla1[[#This Row],[Debit]]</f>
        <v>-27.200000000000003</v>
      </c>
      <c r="I240" t="str">
        <f>TEXT(Tabla1[[#This Row],[Date]],"mmmm")</f>
        <v>mayo</v>
      </c>
      <c r="J240" t="str">
        <f>TEXT(DAY(Tabla1[[#This Row],[Date]]),"dddd")</f>
        <v>domingo</v>
      </c>
      <c r="K240">
        <f>MONTH(Tabla1[[#This Row],[Date]])</f>
        <v>5</v>
      </c>
    </row>
    <row r="241" spans="1:11" x14ac:dyDescent="0.25">
      <c r="A241" s="5">
        <v>45443</v>
      </c>
      <c r="B241" t="s">
        <v>47</v>
      </c>
      <c r="C241">
        <v>15</v>
      </c>
      <c r="E241" t="s">
        <v>27</v>
      </c>
      <c r="F241" t="s">
        <v>86</v>
      </c>
      <c r="G241" t="s">
        <v>70</v>
      </c>
      <c r="H241">
        <f>Tabla1[[#This Row],[Credit]]-Tabla1[[#This Row],[Debit]]</f>
        <v>-15</v>
      </c>
      <c r="I241" t="str">
        <f>TEXT(Tabla1[[#This Row],[Date]],"mmmm")</f>
        <v>mayo</v>
      </c>
      <c r="J241" t="str">
        <f>TEXT(DAY(Tabla1[[#This Row],[Date]]),"dddd")</f>
        <v>martes</v>
      </c>
      <c r="K241">
        <f>MONTH(Tabla1[[#This Row],[Date]])</f>
        <v>5</v>
      </c>
    </row>
    <row r="242" spans="1:11" x14ac:dyDescent="0.25">
      <c r="A242" s="5">
        <v>45442</v>
      </c>
      <c r="B242" t="s">
        <v>10</v>
      </c>
      <c r="C242">
        <v>5</v>
      </c>
      <c r="E242" t="s">
        <v>11</v>
      </c>
      <c r="F242" t="s">
        <v>86</v>
      </c>
      <c r="G242" t="s">
        <v>70</v>
      </c>
      <c r="H242">
        <f>Tabla1[[#This Row],[Credit]]-Tabla1[[#This Row],[Debit]]</f>
        <v>-5</v>
      </c>
      <c r="I242" t="str">
        <f>TEXT(Tabla1[[#This Row],[Date]],"mmmm")</f>
        <v>mayo</v>
      </c>
      <c r="J242" t="str">
        <f>TEXT(DAY(Tabla1[[#This Row],[Date]]),"dddd")</f>
        <v>lunes</v>
      </c>
      <c r="K242">
        <f>MONTH(Tabla1[[#This Row],[Date]])</f>
        <v>5</v>
      </c>
    </row>
    <row r="243" spans="1:11" x14ac:dyDescent="0.25">
      <c r="A243" s="5">
        <v>45443</v>
      </c>
      <c r="B243" t="s">
        <v>10</v>
      </c>
      <c r="C243">
        <v>5</v>
      </c>
      <c r="E243" t="s">
        <v>11</v>
      </c>
      <c r="F243" t="s">
        <v>86</v>
      </c>
      <c r="G243" t="s">
        <v>70</v>
      </c>
      <c r="H243">
        <f>Tabla1[[#This Row],[Credit]]-Tabla1[[#This Row],[Debit]]</f>
        <v>-5</v>
      </c>
      <c r="I243" t="str">
        <f>TEXT(Tabla1[[#This Row],[Date]],"mmmm")</f>
        <v>mayo</v>
      </c>
      <c r="J243" t="str">
        <f>TEXT(DAY(Tabla1[[#This Row],[Date]]),"dddd")</f>
        <v>martes</v>
      </c>
      <c r="K243">
        <f>MONTH(Tabla1[[#This Row],[Date]])</f>
        <v>5</v>
      </c>
    </row>
    <row r="244" spans="1:11" x14ac:dyDescent="0.25">
      <c r="A244" s="5">
        <v>45444</v>
      </c>
      <c r="B244" t="s">
        <v>7</v>
      </c>
      <c r="D244">
        <v>5000</v>
      </c>
      <c r="E244" t="s">
        <v>8</v>
      </c>
      <c r="F244" t="s">
        <v>90</v>
      </c>
      <c r="G244" t="s">
        <v>93</v>
      </c>
      <c r="H244">
        <f>Tabla1[[#This Row],[Credit]]-Tabla1[[#This Row],[Debit]]</f>
        <v>5000</v>
      </c>
      <c r="I244" t="str">
        <f>TEXT(Tabla1[[#This Row],[Date]],"mmmm")</f>
        <v>junio</v>
      </c>
      <c r="J244" t="str">
        <f>TEXT(DAY(Tabla1[[#This Row],[Date]]),"dddd")</f>
        <v>domingo</v>
      </c>
      <c r="K244">
        <f>MONTH(Tabla1[[#This Row],[Date]])</f>
        <v>6</v>
      </c>
    </row>
    <row r="245" spans="1:11" x14ac:dyDescent="0.25">
      <c r="A245" s="5">
        <v>45446</v>
      </c>
      <c r="B245" t="s">
        <v>10</v>
      </c>
      <c r="C245">
        <v>5</v>
      </c>
      <c r="E245" t="s">
        <v>11</v>
      </c>
      <c r="F245" t="s">
        <v>86</v>
      </c>
      <c r="G245" t="s">
        <v>70</v>
      </c>
      <c r="H245">
        <f>Tabla1[[#This Row],[Credit]]-Tabla1[[#This Row],[Debit]]</f>
        <v>-5</v>
      </c>
      <c r="I245" t="str">
        <f>TEXT(Tabla1[[#This Row],[Date]],"mmmm")</f>
        <v>junio</v>
      </c>
      <c r="J245" t="str">
        <f>TEXT(DAY(Tabla1[[#This Row],[Date]]),"dddd")</f>
        <v>martes</v>
      </c>
      <c r="K245">
        <f>MONTH(Tabla1[[#This Row],[Date]])</f>
        <v>6</v>
      </c>
    </row>
    <row r="246" spans="1:11" x14ac:dyDescent="0.25">
      <c r="A246" s="5">
        <v>45446</v>
      </c>
      <c r="B246" t="s">
        <v>13</v>
      </c>
      <c r="C246">
        <v>900</v>
      </c>
      <c r="E246" t="s">
        <v>94</v>
      </c>
      <c r="F246" t="s">
        <v>87</v>
      </c>
      <c r="G246" t="s">
        <v>70</v>
      </c>
      <c r="H246">
        <f>Tabla1[[#This Row],[Credit]]-Tabla1[[#This Row],[Debit]]</f>
        <v>-900</v>
      </c>
      <c r="I246" t="str">
        <f>TEXT(Tabla1[[#This Row],[Date]],"mmmm")</f>
        <v>junio</v>
      </c>
      <c r="J246" t="str">
        <f>TEXT(DAY(Tabla1[[#This Row],[Date]]),"dddd")</f>
        <v>martes</v>
      </c>
      <c r="K246">
        <f>MONTH(Tabla1[[#This Row],[Date]])</f>
        <v>6</v>
      </c>
    </row>
    <row r="247" spans="1:11" x14ac:dyDescent="0.25">
      <c r="A247" s="5">
        <v>45446</v>
      </c>
      <c r="B247" t="s">
        <v>15</v>
      </c>
      <c r="C247">
        <v>150</v>
      </c>
      <c r="E247" t="s">
        <v>98</v>
      </c>
      <c r="F247" t="s">
        <v>89</v>
      </c>
      <c r="G247" t="s">
        <v>70</v>
      </c>
      <c r="H247">
        <f>Tabla1[[#This Row],[Credit]]-Tabla1[[#This Row],[Debit]]</f>
        <v>-150</v>
      </c>
      <c r="I247" t="str">
        <f>TEXT(Tabla1[[#This Row],[Date]],"mmmm")</f>
        <v>junio</v>
      </c>
      <c r="J247" t="str">
        <f>TEXT(DAY(Tabla1[[#This Row],[Date]]),"dddd")</f>
        <v>martes</v>
      </c>
      <c r="K247">
        <f>MONTH(Tabla1[[#This Row],[Date]])</f>
        <v>6</v>
      </c>
    </row>
    <row r="248" spans="1:11" x14ac:dyDescent="0.25">
      <c r="A248" s="5">
        <v>45446</v>
      </c>
      <c r="B248" t="s">
        <v>10</v>
      </c>
      <c r="C248">
        <v>5</v>
      </c>
      <c r="E248" t="s">
        <v>11</v>
      </c>
      <c r="F248" t="s">
        <v>86</v>
      </c>
      <c r="G248" t="s">
        <v>70</v>
      </c>
      <c r="H248">
        <f>Tabla1[[#This Row],[Credit]]-Tabla1[[#This Row],[Debit]]</f>
        <v>-5</v>
      </c>
      <c r="I248" t="str">
        <f>TEXT(Tabla1[[#This Row],[Date]],"mmmm")</f>
        <v>junio</v>
      </c>
      <c r="J248" t="str">
        <f>TEXT(DAY(Tabla1[[#This Row],[Date]]),"dddd")</f>
        <v>martes</v>
      </c>
      <c r="K248">
        <f>MONTH(Tabla1[[#This Row],[Date]])</f>
        <v>6</v>
      </c>
    </row>
    <row r="249" spans="1:11" x14ac:dyDescent="0.25">
      <c r="A249" s="5">
        <v>45447</v>
      </c>
      <c r="B249" t="s">
        <v>10</v>
      </c>
      <c r="C249">
        <v>5</v>
      </c>
      <c r="E249" t="s">
        <v>11</v>
      </c>
      <c r="F249" t="s">
        <v>86</v>
      </c>
      <c r="G249" t="s">
        <v>70</v>
      </c>
      <c r="H249">
        <f>Tabla1[[#This Row],[Credit]]-Tabla1[[#This Row],[Debit]]</f>
        <v>-5</v>
      </c>
      <c r="I249" t="str">
        <f>TEXT(Tabla1[[#This Row],[Date]],"mmmm")</f>
        <v>junio</v>
      </c>
      <c r="J249" t="str">
        <f>TEXT(DAY(Tabla1[[#This Row],[Date]]),"dddd")</f>
        <v>miércoles</v>
      </c>
      <c r="K249">
        <f>MONTH(Tabla1[[#This Row],[Date]])</f>
        <v>6</v>
      </c>
    </row>
    <row r="250" spans="1:11" x14ac:dyDescent="0.25">
      <c r="A250" s="5">
        <v>45448</v>
      </c>
      <c r="B250" t="s">
        <v>10</v>
      </c>
      <c r="C250">
        <v>5</v>
      </c>
      <c r="E250" t="s">
        <v>11</v>
      </c>
      <c r="F250" t="s">
        <v>86</v>
      </c>
      <c r="G250" t="s">
        <v>70</v>
      </c>
      <c r="H250">
        <f>Tabla1[[#This Row],[Credit]]-Tabla1[[#This Row],[Debit]]</f>
        <v>-5</v>
      </c>
      <c r="I250" t="str">
        <f>TEXT(Tabla1[[#This Row],[Date]],"mmmm")</f>
        <v>junio</v>
      </c>
      <c r="J250" t="str">
        <f>TEXT(DAY(Tabla1[[#This Row],[Date]]),"dddd")</f>
        <v>jueves</v>
      </c>
      <c r="K250">
        <f>MONTH(Tabla1[[#This Row],[Date]])</f>
        <v>6</v>
      </c>
    </row>
    <row r="251" spans="1:11" x14ac:dyDescent="0.25">
      <c r="A251" s="5">
        <v>45449</v>
      </c>
      <c r="B251" t="s">
        <v>10</v>
      </c>
      <c r="C251">
        <v>5</v>
      </c>
      <c r="E251" t="s">
        <v>11</v>
      </c>
      <c r="F251" t="s">
        <v>86</v>
      </c>
      <c r="G251" t="s">
        <v>70</v>
      </c>
      <c r="H251">
        <f>Tabla1[[#This Row],[Credit]]-Tabla1[[#This Row],[Debit]]</f>
        <v>-5</v>
      </c>
      <c r="I251" t="str">
        <f>TEXT(Tabla1[[#This Row],[Date]],"mmmm")</f>
        <v>junio</v>
      </c>
      <c r="J251" t="str">
        <f>TEXT(DAY(Tabla1[[#This Row],[Date]]),"dddd")</f>
        <v>viernes</v>
      </c>
      <c r="K251">
        <f>MONTH(Tabla1[[#This Row],[Date]])</f>
        <v>6</v>
      </c>
    </row>
    <row r="252" spans="1:11" x14ac:dyDescent="0.25">
      <c r="A252" s="5">
        <v>45449</v>
      </c>
      <c r="B252" t="s">
        <v>17</v>
      </c>
      <c r="C252">
        <v>119</v>
      </c>
      <c r="E252" t="s">
        <v>95</v>
      </c>
      <c r="F252" t="s">
        <v>87</v>
      </c>
      <c r="G252" t="s">
        <v>70</v>
      </c>
      <c r="H252">
        <f>Tabla1[[#This Row],[Credit]]-Tabla1[[#This Row],[Debit]]</f>
        <v>-119</v>
      </c>
      <c r="I252" t="str">
        <f>TEXT(Tabla1[[#This Row],[Date]],"mmmm")</f>
        <v>junio</v>
      </c>
      <c r="J252" t="str">
        <f>TEXT(DAY(Tabla1[[#This Row],[Date]]),"dddd")</f>
        <v>viernes</v>
      </c>
      <c r="K252">
        <f>MONTH(Tabla1[[#This Row],[Date]])</f>
        <v>6</v>
      </c>
    </row>
    <row r="253" spans="1:11" x14ac:dyDescent="0.25">
      <c r="A253" s="5">
        <v>45452</v>
      </c>
      <c r="B253" t="s">
        <v>19</v>
      </c>
      <c r="C253">
        <v>55</v>
      </c>
      <c r="E253" t="s">
        <v>20</v>
      </c>
      <c r="F253" t="s">
        <v>87</v>
      </c>
      <c r="G253" t="s">
        <v>70</v>
      </c>
      <c r="H253">
        <f>Tabla1[[#This Row],[Credit]]-Tabla1[[#This Row],[Debit]]</f>
        <v>-55</v>
      </c>
      <c r="I253" t="str">
        <f>TEXT(Tabla1[[#This Row],[Date]],"mmmm")</f>
        <v>junio</v>
      </c>
      <c r="J253" t="str">
        <f>TEXT(DAY(Tabla1[[#This Row],[Date]]),"dddd")</f>
        <v>lunes</v>
      </c>
      <c r="K253">
        <f>MONTH(Tabla1[[#This Row],[Date]])</f>
        <v>6</v>
      </c>
    </row>
    <row r="254" spans="1:11" x14ac:dyDescent="0.25">
      <c r="A254" s="5">
        <v>45452</v>
      </c>
      <c r="B254" t="s">
        <v>10</v>
      </c>
      <c r="C254">
        <v>5</v>
      </c>
      <c r="E254" t="s">
        <v>11</v>
      </c>
      <c r="F254" t="s">
        <v>86</v>
      </c>
      <c r="G254" t="s">
        <v>70</v>
      </c>
      <c r="H254">
        <f>Tabla1[[#This Row],[Credit]]-Tabla1[[#This Row],[Debit]]</f>
        <v>-5</v>
      </c>
      <c r="I254" t="str">
        <f>TEXT(Tabla1[[#This Row],[Date]],"mmmm")</f>
        <v>junio</v>
      </c>
      <c r="J254" t="str">
        <f>TEXT(DAY(Tabla1[[#This Row],[Date]]),"dddd")</f>
        <v>lunes</v>
      </c>
      <c r="K254">
        <f>MONTH(Tabla1[[#This Row],[Date]])</f>
        <v>6</v>
      </c>
    </row>
    <row r="255" spans="1:11" x14ac:dyDescent="0.25">
      <c r="A255" s="5">
        <v>45453</v>
      </c>
      <c r="B255" t="s">
        <v>10</v>
      </c>
      <c r="C255">
        <v>5</v>
      </c>
      <c r="E255" t="s">
        <v>11</v>
      </c>
      <c r="F255" t="s">
        <v>86</v>
      </c>
      <c r="G255" t="s">
        <v>70</v>
      </c>
      <c r="H255">
        <f>Tabla1[[#This Row],[Credit]]-Tabla1[[#This Row],[Debit]]</f>
        <v>-5</v>
      </c>
      <c r="I255" t="str">
        <f>TEXT(Tabla1[[#This Row],[Date]],"mmmm")</f>
        <v>junio</v>
      </c>
      <c r="J255" t="str">
        <f>TEXT(DAY(Tabla1[[#This Row],[Date]]),"dddd")</f>
        <v>martes</v>
      </c>
      <c r="K255">
        <f>MONTH(Tabla1[[#This Row],[Date]])</f>
        <v>6</v>
      </c>
    </row>
    <row r="256" spans="1:11" x14ac:dyDescent="0.25">
      <c r="A256" s="5">
        <v>45454</v>
      </c>
      <c r="B256" t="s">
        <v>21</v>
      </c>
      <c r="C256">
        <v>82.1</v>
      </c>
      <c r="E256" t="s">
        <v>96</v>
      </c>
      <c r="F256" t="s">
        <v>89</v>
      </c>
      <c r="G256" t="s">
        <v>70</v>
      </c>
      <c r="H256">
        <f>Tabla1[[#This Row],[Credit]]-Tabla1[[#This Row],[Debit]]</f>
        <v>-82.1</v>
      </c>
      <c r="I256" t="str">
        <f>TEXT(Tabla1[[#This Row],[Date]],"mmmm")</f>
        <v>junio</v>
      </c>
      <c r="J256" t="str">
        <f>TEXT(DAY(Tabla1[[#This Row],[Date]]),"dddd")</f>
        <v>miércoles</v>
      </c>
      <c r="K256">
        <f>MONTH(Tabla1[[#This Row],[Date]])</f>
        <v>6</v>
      </c>
    </row>
    <row r="257" spans="1:11" x14ac:dyDescent="0.25">
      <c r="A257" s="5">
        <v>45454</v>
      </c>
      <c r="B257" t="s">
        <v>10</v>
      </c>
      <c r="C257">
        <v>5</v>
      </c>
      <c r="E257" t="s">
        <v>11</v>
      </c>
      <c r="F257" t="s">
        <v>86</v>
      </c>
      <c r="G257" t="s">
        <v>70</v>
      </c>
      <c r="H257">
        <f>Tabla1[[#This Row],[Credit]]-Tabla1[[#This Row],[Debit]]</f>
        <v>-5</v>
      </c>
      <c r="I257" t="str">
        <f>TEXT(Tabla1[[#This Row],[Date]],"mmmm")</f>
        <v>junio</v>
      </c>
      <c r="J257" t="str">
        <f>TEXT(DAY(Tabla1[[#This Row],[Date]]),"dddd")</f>
        <v>miércoles</v>
      </c>
      <c r="K257">
        <f>MONTH(Tabla1[[#This Row],[Date]])</f>
        <v>6</v>
      </c>
    </row>
    <row r="258" spans="1:11" x14ac:dyDescent="0.25">
      <c r="A258" s="5">
        <v>45455</v>
      </c>
      <c r="B258" t="s">
        <v>10</v>
      </c>
      <c r="C258">
        <v>5</v>
      </c>
      <c r="E258" t="s">
        <v>11</v>
      </c>
      <c r="F258" t="s">
        <v>86</v>
      </c>
      <c r="G258" t="s">
        <v>70</v>
      </c>
      <c r="H258">
        <f>Tabla1[[#This Row],[Credit]]-Tabla1[[#This Row],[Debit]]</f>
        <v>-5</v>
      </c>
      <c r="I258" t="str">
        <f>TEXT(Tabla1[[#This Row],[Date]],"mmmm")</f>
        <v>junio</v>
      </c>
      <c r="J258" t="str">
        <f>TEXT(DAY(Tabla1[[#This Row],[Date]]),"dddd")</f>
        <v>jueves</v>
      </c>
      <c r="K258">
        <f>MONTH(Tabla1[[#This Row],[Date]])</f>
        <v>6</v>
      </c>
    </row>
    <row r="259" spans="1:11" x14ac:dyDescent="0.25">
      <c r="A259" s="5">
        <v>45456</v>
      </c>
      <c r="B259" t="s">
        <v>17</v>
      </c>
      <c r="C259">
        <v>140.19999999999999</v>
      </c>
      <c r="E259" t="s">
        <v>95</v>
      </c>
      <c r="F259" t="s">
        <v>87</v>
      </c>
      <c r="G259" t="s">
        <v>70</v>
      </c>
      <c r="H259">
        <f>Tabla1[[#This Row],[Credit]]-Tabla1[[#This Row],[Debit]]</f>
        <v>-140.19999999999999</v>
      </c>
      <c r="I259" t="str">
        <f>TEXT(Tabla1[[#This Row],[Date]],"mmmm")</f>
        <v>junio</v>
      </c>
      <c r="J259" t="str">
        <f>TEXT(DAY(Tabla1[[#This Row],[Date]]),"dddd")</f>
        <v>viernes</v>
      </c>
      <c r="K259">
        <f>MONTH(Tabla1[[#This Row],[Date]])</f>
        <v>6</v>
      </c>
    </row>
    <row r="260" spans="1:11" x14ac:dyDescent="0.25">
      <c r="A260" s="5">
        <v>45456</v>
      </c>
      <c r="B260" t="s">
        <v>10</v>
      </c>
      <c r="C260">
        <v>5</v>
      </c>
      <c r="E260" t="s">
        <v>11</v>
      </c>
      <c r="F260" t="s">
        <v>86</v>
      </c>
      <c r="G260" t="s">
        <v>70</v>
      </c>
      <c r="H260">
        <f>Tabla1[[#This Row],[Credit]]-Tabla1[[#This Row],[Debit]]</f>
        <v>-5</v>
      </c>
      <c r="I260" t="str">
        <f>TEXT(Tabla1[[#This Row],[Date]],"mmmm")</f>
        <v>junio</v>
      </c>
      <c r="J260" t="str">
        <f>TEXT(DAY(Tabla1[[#This Row],[Date]]),"dddd")</f>
        <v>viernes</v>
      </c>
      <c r="K260">
        <f>MONTH(Tabla1[[#This Row],[Date]])</f>
        <v>6</v>
      </c>
    </row>
    <row r="261" spans="1:11" x14ac:dyDescent="0.25">
      <c r="A261" s="5">
        <v>45457</v>
      </c>
      <c r="B261" t="s">
        <v>10</v>
      </c>
      <c r="C261">
        <v>5</v>
      </c>
      <c r="E261" t="s">
        <v>11</v>
      </c>
      <c r="F261" t="s">
        <v>86</v>
      </c>
      <c r="G261" t="s">
        <v>70</v>
      </c>
      <c r="H261">
        <f>Tabla1[[#This Row],[Credit]]-Tabla1[[#This Row],[Debit]]</f>
        <v>-5</v>
      </c>
      <c r="I261" t="str">
        <f>TEXT(Tabla1[[#This Row],[Date]],"mmmm")</f>
        <v>junio</v>
      </c>
      <c r="J261" t="str">
        <f>TEXT(DAY(Tabla1[[#This Row],[Date]]),"dddd")</f>
        <v>sábado</v>
      </c>
      <c r="K261">
        <f>MONTH(Tabla1[[#This Row],[Date]])</f>
        <v>6</v>
      </c>
    </row>
    <row r="262" spans="1:11" x14ac:dyDescent="0.25">
      <c r="A262" s="5">
        <v>45457</v>
      </c>
      <c r="B262" t="s">
        <v>22</v>
      </c>
      <c r="C262">
        <v>44.9</v>
      </c>
      <c r="E262" t="s">
        <v>23</v>
      </c>
      <c r="F262" t="s">
        <v>91</v>
      </c>
      <c r="G262" t="s">
        <v>70</v>
      </c>
      <c r="H262">
        <f>Tabla1[[#This Row],[Credit]]-Tabla1[[#This Row],[Debit]]</f>
        <v>-44.9</v>
      </c>
      <c r="I262" t="str">
        <f>TEXT(Tabla1[[#This Row],[Date]],"mmmm")</f>
        <v>junio</v>
      </c>
      <c r="J262" t="str">
        <f>TEXT(DAY(Tabla1[[#This Row],[Date]]),"dddd")</f>
        <v>sábado</v>
      </c>
      <c r="K262">
        <f>MONTH(Tabla1[[#This Row],[Date]])</f>
        <v>6</v>
      </c>
    </row>
    <row r="263" spans="1:11" x14ac:dyDescent="0.25">
      <c r="A263" s="5">
        <v>45457</v>
      </c>
      <c r="B263" t="s">
        <v>24</v>
      </c>
      <c r="C263">
        <v>102.9</v>
      </c>
      <c r="E263" t="s">
        <v>97</v>
      </c>
      <c r="F263" t="s">
        <v>91</v>
      </c>
      <c r="G263" t="s">
        <v>70</v>
      </c>
      <c r="H263">
        <f>Tabla1[[#This Row],[Credit]]-Tabla1[[#This Row],[Debit]]</f>
        <v>-102.9</v>
      </c>
      <c r="I263" t="str">
        <f>TEXT(Tabla1[[#This Row],[Date]],"mmmm")</f>
        <v>junio</v>
      </c>
      <c r="J263" t="str">
        <f>TEXT(DAY(Tabla1[[#This Row],[Date]]),"dddd")</f>
        <v>sábado</v>
      </c>
      <c r="K263">
        <f>MONTH(Tabla1[[#This Row],[Date]])</f>
        <v>6</v>
      </c>
    </row>
    <row r="264" spans="1:11" x14ac:dyDescent="0.25">
      <c r="A264" s="5">
        <v>45457</v>
      </c>
      <c r="B264" t="s">
        <v>26</v>
      </c>
      <c r="C264">
        <v>56.9</v>
      </c>
      <c r="E264" t="s">
        <v>27</v>
      </c>
      <c r="F264" t="s">
        <v>86</v>
      </c>
      <c r="G264" t="s">
        <v>70</v>
      </c>
      <c r="H264">
        <f>Tabla1[[#This Row],[Credit]]-Tabla1[[#This Row],[Debit]]</f>
        <v>-56.9</v>
      </c>
      <c r="I264" t="str">
        <f>TEXT(Tabla1[[#This Row],[Date]],"mmmm")</f>
        <v>junio</v>
      </c>
      <c r="J264" t="str">
        <f>TEXT(DAY(Tabla1[[#This Row],[Date]]),"dddd")</f>
        <v>sábado</v>
      </c>
      <c r="K264">
        <f>MONTH(Tabla1[[#This Row],[Date]])</f>
        <v>6</v>
      </c>
    </row>
    <row r="265" spans="1:11" x14ac:dyDescent="0.25">
      <c r="A265" s="5">
        <v>45458</v>
      </c>
      <c r="B265" t="s">
        <v>28</v>
      </c>
      <c r="C265">
        <v>33.1</v>
      </c>
      <c r="E265" t="s">
        <v>29</v>
      </c>
      <c r="F265" t="s">
        <v>89</v>
      </c>
      <c r="G265" t="s">
        <v>70</v>
      </c>
      <c r="H265">
        <f>Tabla1[[#This Row],[Credit]]-Tabla1[[#This Row],[Debit]]</f>
        <v>-33.1</v>
      </c>
      <c r="I265" t="str">
        <f>TEXT(Tabla1[[#This Row],[Date]],"mmmm")</f>
        <v>junio</v>
      </c>
      <c r="J265" t="str">
        <f>TEXT(DAY(Tabla1[[#This Row],[Date]]),"dddd")</f>
        <v>domingo</v>
      </c>
      <c r="K265">
        <f>MONTH(Tabla1[[#This Row],[Date]])</f>
        <v>6</v>
      </c>
    </row>
    <row r="266" spans="1:11" x14ac:dyDescent="0.25">
      <c r="A266" s="5">
        <v>45459</v>
      </c>
      <c r="B266" t="s">
        <v>30</v>
      </c>
      <c r="D266">
        <v>100</v>
      </c>
      <c r="E266" t="s">
        <v>31</v>
      </c>
      <c r="F266" t="s">
        <v>92</v>
      </c>
      <c r="G266" t="s">
        <v>93</v>
      </c>
      <c r="H266">
        <f>Tabla1[[#This Row],[Credit]]-Tabla1[[#This Row],[Debit]]</f>
        <v>100</v>
      </c>
      <c r="I266" t="str">
        <f>TEXT(Tabla1[[#This Row],[Date]],"mmmm")</f>
        <v>junio</v>
      </c>
      <c r="J266" t="str">
        <f>TEXT(DAY(Tabla1[[#This Row],[Date]]),"dddd")</f>
        <v>lunes</v>
      </c>
      <c r="K266">
        <f>MONTH(Tabla1[[#This Row],[Date]])</f>
        <v>6</v>
      </c>
    </row>
    <row r="267" spans="1:11" x14ac:dyDescent="0.25">
      <c r="A267" s="5">
        <v>45459</v>
      </c>
      <c r="B267" t="s">
        <v>10</v>
      </c>
      <c r="C267">
        <v>5</v>
      </c>
      <c r="E267" t="s">
        <v>11</v>
      </c>
      <c r="F267" t="s">
        <v>86</v>
      </c>
      <c r="G267" t="s">
        <v>70</v>
      </c>
      <c r="H267">
        <f>Tabla1[[#This Row],[Credit]]-Tabla1[[#This Row],[Debit]]</f>
        <v>-5</v>
      </c>
      <c r="I267" t="str">
        <f>TEXT(Tabla1[[#This Row],[Date]],"mmmm")</f>
        <v>junio</v>
      </c>
      <c r="J267" t="str">
        <f>TEXT(DAY(Tabla1[[#This Row],[Date]]),"dddd")</f>
        <v>lunes</v>
      </c>
      <c r="K267">
        <f>MONTH(Tabla1[[#This Row],[Date]])</f>
        <v>6</v>
      </c>
    </row>
    <row r="268" spans="1:11" x14ac:dyDescent="0.25">
      <c r="A268" s="5">
        <v>45460</v>
      </c>
      <c r="B268" t="s">
        <v>10</v>
      </c>
      <c r="C268">
        <v>5</v>
      </c>
      <c r="E268" t="s">
        <v>11</v>
      </c>
      <c r="F268" t="s">
        <v>86</v>
      </c>
      <c r="G268" t="s">
        <v>70</v>
      </c>
      <c r="H268">
        <f>Tabla1[[#This Row],[Credit]]-Tabla1[[#This Row],[Debit]]</f>
        <v>-5</v>
      </c>
      <c r="I268" t="str">
        <f>TEXT(Tabla1[[#This Row],[Date]],"mmmm")</f>
        <v>junio</v>
      </c>
      <c r="J268" t="str">
        <f>TEXT(DAY(Tabla1[[#This Row],[Date]]),"dddd")</f>
        <v>martes</v>
      </c>
      <c r="K268">
        <f>MONTH(Tabla1[[#This Row],[Date]])</f>
        <v>6</v>
      </c>
    </row>
    <row r="269" spans="1:11" x14ac:dyDescent="0.25">
      <c r="A269" s="5">
        <v>45460</v>
      </c>
      <c r="B269" t="s">
        <v>33</v>
      </c>
      <c r="C269">
        <v>40</v>
      </c>
      <c r="E269" t="s">
        <v>33</v>
      </c>
      <c r="F269" t="s">
        <v>87</v>
      </c>
      <c r="G269" t="s">
        <v>70</v>
      </c>
      <c r="H269">
        <f>Tabla1[[#This Row],[Credit]]-Tabla1[[#This Row],[Debit]]</f>
        <v>-40</v>
      </c>
      <c r="I269" t="str">
        <f>TEXT(Tabla1[[#This Row],[Date]],"mmmm")</f>
        <v>junio</v>
      </c>
      <c r="J269" t="str">
        <f>TEXT(DAY(Tabla1[[#This Row],[Date]]),"dddd")</f>
        <v>martes</v>
      </c>
      <c r="K269">
        <f>MONTH(Tabla1[[#This Row],[Date]])</f>
        <v>6</v>
      </c>
    </row>
    <row r="270" spans="1:11" x14ac:dyDescent="0.25">
      <c r="A270" s="5">
        <v>45461</v>
      </c>
      <c r="B270" t="s">
        <v>34</v>
      </c>
      <c r="C270">
        <v>50.1</v>
      </c>
      <c r="E270" t="s">
        <v>35</v>
      </c>
      <c r="F270" t="s">
        <v>91</v>
      </c>
      <c r="G270" t="s">
        <v>70</v>
      </c>
      <c r="H270">
        <f>Tabla1[[#This Row],[Credit]]-Tabla1[[#This Row],[Debit]]</f>
        <v>-50.1</v>
      </c>
      <c r="I270" t="str">
        <f>TEXT(Tabla1[[#This Row],[Date]],"mmmm")</f>
        <v>junio</v>
      </c>
      <c r="J270" t="str">
        <f>TEXT(DAY(Tabla1[[#This Row],[Date]]),"dddd")</f>
        <v>miércoles</v>
      </c>
      <c r="K270">
        <f>MONTH(Tabla1[[#This Row],[Date]])</f>
        <v>6</v>
      </c>
    </row>
    <row r="271" spans="1:11" x14ac:dyDescent="0.25">
      <c r="A271" s="5">
        <v>45461</v>
      </c>
      <c r="B271" t="s">
        <v>36</v>
      </c>
      <c r="C271">
        <v>35</v>
      </c>
      <c r="E271" t="s">
        <v>23</v>
      </c>
      <c r="F271" t="s">
        <v>91</v>
      </c>
      <c r="G271" t="s">
        <v>70</v>
      </c>
      <c r="H271">
        <f>Tabla1[[#This Row],[Credit]]-Tabla1[[#This Row],[Debit]]</f>
        <v>-35</v>
      </c>
      <c r="I271" t="str">
        <f>TEXT(Tabla1[[#This Row],[Date]],"mmmm")</f>
        <v>junio</v>
      </c>
      <c r="J271" t="str">
        <f>TEXT(DAY(Tabla1[[#This Row],[Date]]),"dddd")</f>
        <v>miércoles</v>
      </c>
      <c r="K271">
        <f>MONTH(Tabla1[[#This Row],[Date]])</f>
        <v>6</v>
      </c>
    </row>
    <row r="272" spans="1:11" x14ac:dyDescent="0.25">
      <c r="A272" s="5">
        <v>45461</v>
      </c>
      <c r="B272" t="s">
        <v>10</v>
      </c>
      <c r="C272">
        <v>5</v>
      </c>
      <c r="E272" t="s">
        <v>11</v>
      </c>
      <c r="F272" t="s">
        <v>86</v>
      </c>
      <c r="G272" t="s">
        <v>70</v>
      </c>
      <c r="H272">
        <f>Tabla1[[#This Row],[Credit]]-Tabla1[[#This Row],[Debit]]</f>
        <v>-5</v>
      </c>
      <c r="I272" t="str">
        <f>TEXT(Tabla1[[#This Row],[Date]],"mmmm")</f>
        <v>junio</v>
      </c>
      <c r="J272" t="str">
        <f>TEXT(DAY(Tabla1[[#This Row],[Date]]),"dddd")</f>
        <v>miércoles</v>
      </c>
      <c r="K272">
        <f>MONTH(Tabla1[[#This Row],[Date]])</f>
        <v>6</v>
      </c>
    </row>
    <row r="273" spans="1:11" x14ac:dyDescent="0.25">
      <c r="A273" s="5">
        <v>45462</v>
      </c>
      <c r="B273" t="s">
        <v>10</v>
      </c>
      <c r="C273">
        <v>5</v>
      </c>
      <c r="E273" t="s">
        <v>11</v>
      </c>
      <c r="F273" t="s">
        <v>86</v>
      </c>
      <c r="G273" t="s">
        <v>70</v>
      </c>
      <c r="H273">
        <f>Tabla1[[#This Row],[Credit]]-Tabla1[[#This Row],[Debit]]</f>
        <v>-5</v>
      </c>
      <c r="I273" t="str">
        <f>TEXT(Tabla1[[#This Row],[Date]],"mmmm")</f>
        <v>junio</v>
      </c>
      <c r="J273" t="str">
        <f>TEXT(DAY(Tabla1[[#This Row],[Date]]),"dddd")</f>
        <v>jueves</v>
      </c>
      <c r="K273">
        <f>MONTH(Tabla1[[#This Row],[Date]])</f>
        <v>6</v>
      </c>
    </row>
    <row r="274" spans="1:11" x14ac:dyDescent="0.25">
      <c r="A274" s="5">
        <v>45463</v>
      </c>
      <c r="B274" t="s">
        <v>10</v>
      </c>
      <c r="C274">
        <v>5</v>
      </c>
      <c r="E274" t="s">
        <v>11</v>
      </c>
      <c r="F274" t="s">
        <v>86</v>
      </c>
      <c r="G274" t="s">
        <v>70</v>
      </c>
      <c r="H274">
        <f>Tabla1[[#This Row],[Credit]]-Tabla1[[#This Row],[Debit]]</f>
        <v>-5</v>
      </c>
      <c r="I274" t="str">
        <f>TEXT(Tabla1[[#This Row],[Date]],"mmmm")</f>
        <v>junio</v>
      </c>
      <c r="J274" t="str">
        <f>TEXT(DAY(Tabla1[[#This Row],[Date]]),"dddd")</f>
        <v>viernes</v>
      </c>
      <c r="K274">
        <f>MONTH(Tabla1[[#This Row],[Date]])</f>
        <v>6</v>
      </c>
    </row>
    <row r="275" spans="1:11" x14ac:dyDescent="0.25">
      <c r="A275" s="5">
        <v>45463</v>
      </c>
      <c r="B275" t="s">
        <v>17</v>
      </c>
      <c r="C275">
        <v>234</v>
      </c>
      <c r="E275" t="s">
        <v>95</v>
      </c>
      <c r="F275" t="s">
        <v>87</v>
      </c>
      <c r="G275" t="s">
        <v>70</v>
      </c>
      <c r="H275">
        <f>Tabla1[[#This Row],[Credit]]-Tabla1[[#This Row],[Debit]]</f>
        <v>-234</v>
      </c>
      <c r="I275" t="str">
        <f>TEXT(Tabla1[[#This Row],[Date]],"mmmm")</f>
        <v>junio</v>
      </c>
      <c r="J275" t="str">
        <f>TEXT(DAY(Tabla1[[#This Row],[Date]]),"dddd")</f>
        <v>viernes</v>
      </c>
      <c r="K275">
        <f>MONTH(Tabla1[[#This Row],[Date]])</f>
        <v>6</v>
      </c>
    </row>
    <row r="276" spans="1:11" x14ac:dyDescent="0.25">
      <c r="A276" s="5">
        <v>45464</v>
      </c>
      <c r="B276" t="s">
        <v>37</v>
      </c>
      <c r="C276">
        <v>42.1</v>
      </c>
      <c r="E276" t="s">
        <v>27</v>
      </c>
      <c r="F276" t="s">
        <v>86</v>
      </c>
      <c r="G276" t="s">
        <v>70</v>
      </c>
      <c r="H276">
        <f>Tabla1[[#This Row],[Credit]]-Tabla1[[#This Row],[Debit]]</f>
        <v>-42.1</v>
      </c>
      <c r="I276" t="str">
        <f>TEXT(Tabla1[[#This Row],[Date]],"mmmm")</f>
        <v>junio</v>
      </c>
      <c r="J276" t="str">
        <f>TEXT(DAY(Tabla1[[#This Row],[Date]]),"dddd")</f>
        <v>sábado</v>
      </c>
      <c r="K276">
        <f>MONTH(Tabla1[[#This Row],[Date]])</f>
        <v>6</v>
      </c>
    </row>
    <row r="277" spans="1:11" x14ac:dyDescent="0.25">
      <c r="A277" s="5">
        <v>45465</v>
      </c>
      <c r="B277" t="s">
        <v>38</v>
      </c>
      <c r="C277">
        <v>17.099999999999998</v>
      </c>
      <c r="E277" t="s">
        <v>27</v>
      </c>
      <c r="F277" t="s">
        <v>86</v>
      </c>
      <c r="G277" t="s">
        <v>70</v>
      </c>
      <c r="H277">
        <f>Tabla1[[#This Row],[Credit]]-Tabla1[[#This Row],[Debit]]</f>
        <v>-17.099999999999998</v>
      </c>
      <c r="I277" t="str">
        <f>TEXT(Tabla1[[#This Row],[Date]],"mmmm")</f>
        <v>junio</v>
      </c>
      <c r="J277" t="str">
        <f>TEXT(DAY(Tabla1[[#This Row],[Date]]),"dddd")</f>
        <v>domingo</v>
      </c>
      <c r="K277">
        <f>MONTH(Tabla1[[#This Row],[Date]])</f>
        <v>6</v>
      </c>
    </row>
    <row r="278" spans="1:11" x14ac:dyDescent="0.25">
      <c r="A278" s="5">
        <v>45466</v>
      </c>
      <c r="B278" t="s">
        <v>39</v>
      </c>
      <c r="C278">
        <v>55</v>
      </c>
      <c r="E278" t="s">
        <v>40</v>
      </c>
      <c r="F278" t="s">
        <v>85</v>
      </c>
      <c r="G278" t="s">
        <v>70</v>
      </c>
      <c r="H278">
        <f>Tabla1[[#This Row],[Credit]]-Tabla1[[#This Row],[Debit]]</f>
        <v>-55</v>
      </c>
      <c r="I278" t="str">
        <f>TEXT(Tabla1[[#This Row],[Date]],"mmmm")</f>
        <v>junio</v>
      </c>
      <c r="J278" t="str">
        <f>TEXT(DAY(Tabla1[[#This Row],[Date]]),"dddd")</f>
        <v>lunes</v>
      </c>
      <c r="K278">
        <f>MONTH(Tabla1[[#This Row],[Date]])</f>
        <v>6</v>
      </c>
    </row>
    <row r="279" spans="1:11" x14ac:dyDescent="0.25">
      <c r="A279" s="5">
        <v>45466</v>
      </c>
      <c r="B279" t="s">
        <v>21</v>
      </c>
      <c r="C279">
        <v>67.900000000000006</v>
      </c>
      <c r="E279" t="s">
        <v>96</v>
      </c>
      <c r="F279" t="s">
        <v>89</v>
      </c>
      <c r="G279" t="s">
        <v>70</v>
      </c>
      <c r="H279">
        <f>Tabla1[[#This Row],[Credit]]-Tabla1[[#This Row],[Debit]]</f>
        <v>-67.900000000000006</v>
      </c>
      <c r="I279" t="str">
        <f>TEXT(Tabla1[[#This Row],[Date]],"mmmm")</f>
        <v>junio</v>
      </c>
      <c r="J279" t="str">
        <f>TEXT(DAY(Tabla1[[#This Row],[Date]]),"dddd")</f>
        <v>lunes</v>
      </c>
      <c r="K279">
        <f>MONTH(Tabla1[[#This Row],[Date]])</f>
        <v>6</v>
      </c>
    </row>
    <row r="280" spans="1:11" x14ac:dyDescent="0.25">
      <c r="A280" s="5">
        <v>45466</v>
      </c>
      <c r="B280" t="s">
        <v>10</v>
      </c>
      <c r="C280">
        <v>5</v>
      </c>
      <c r="E280" t="s">
        <v>11</v>
      </c>
      <c r="F280" t="s">
        <v>86</v>
      </c>
      <c r="G280" t="s">
        <v>70</v>
      </c>
      <c r="H280">
        <f>Tabla1[[#This Row],[Credit]]-Tabla1[[#This Row],[Debit]]</f>
        <v>-5</v>
      </c>
      <c r="I280" t="str">
        <f>TEXT(Tabla1[[#This Row],[Date]],"mmmm")</f>
        <v>junio</v>
      </c>
      <c r="J280" t="str">
        <f>TEXT(DAY(Tabla1[[#This Row],[Date]]),"dddd")</f>
        <v>lunes</v>
      </c>
      <c r="K280">
        <f>MONTH(Tabla1[[#This Row],[Date]])</f>
        <v>6</v>
      </c>
    </row>
    <row r="281" spans="1:11" x14ac:dyDescent="0.25">
      <c r="A281" s="5">
        <v>45467</v>
      </c>
      <c r="B281" t="s">
        <v>10</v>
      </c>
      <c r="C281">
        <v>5</v>
      </c>
      <c r="E281" t="s">
        <v>11</v>
      </c>
      <c r="F281" t="s">
        <v>86</v>
      </c>
      <c r="G281" t="s">
        <v>70</v>
      </c>
      <c r="H281">
        <f>Tabla1[[#This Row],[Credit]]-Tabla1[[#This Row],[Debit]]</f>
        <v>-5</v>
      </c>
      <c r="I281" t="str">
        <f>TEXT(Tabla1[[#This Row],[Date]],"mmmm")</f>
        <v>junio</v>
      </c>
      <c r="J281" t="str">
        <f>TEXT(DAY(Tabla1[[#This Row],[Date]]),"dddd")</f>
        <v>martes</v>
      </c>
      <c r="K281">
        <f>MONTH(Tabla1[[#This Row],[Date]])</f>
        <v>6</v>
      </c>
    </row>
    <row r="282" spans="1:11" x14ac:dyDescent="0.25">
      <c r="A282" s="5">
        <v>45468</v>
      </c>
      <c r="B282" t="s">
        <v>10</v>
      </c>
      <c r="C282">
        <v>5</v>
      </c>
      <c r="E282" t="s">
        <v>11</v>
      </c>
      <c r="F282" t="s">
        <v>86</v>
      </c>
      <c r="G282" t="s">
        <v>70</v>
      </c>
      <c r="H282">
        <f>Tabla1[[#This Row],[Credit]]-Tabla1[[#This Row],[Debit]]</f>
        <v>-5</v>
      </c>
      <c r="I282" t="str">
        <f>TEXT(Tabla1[[#This Row],[Date]],"mmmm")</f>
        <v>junio</v>
      </c>
      <c r="J282" t="str">
        <f>TEXT(DAY(Tabla1[[#This Row],[Date]]),"dddd")</f>
        <v>miércoles</v>
      </c>
      <c r="K282">
        <f>MONTH(Tabla1[[#This Row],[Date]])</f>
        <v>6</v>
      </c>
    </row>
    <row r="283" spans="1:11" x14ac:dyDescent="0.25">
      <c r="A283" s="5">
        <v>45469</v>
      </c>
      <c r="B283" t="s">
        <v>10</v>
      </c>
      <c r="C283">
        <v>5</v>
      </c>
      <c r="E283" t="s">
        <v>11</v>
      </c>
      <c r="F283" t="s">
        <v>86</v>
      </c>
      <c r="G283" t="s">
        <v>70</v>
      </c>
      <c r="H283">
        <f>Tabla1[[#This Row],[Credit]]-Tabla1[[#This Row],[Debit]]</f>
        <v>-5</v>
      </c>
      <c r="I283" t="str">
        <f>TEXT(Tabla1[[#This Row],[Date]],"mmmm")</f>
        <v>junio</v>
      </c>
      <c r="J283" t="str">
        <f>TEXT(DAY(Tabla1[[#This Row],[Date]]),"dddd")</f>
        <v>jueves</v>
      </c>
      <c r="K283">
        <f>MONTH(Tabla1[[#This Row],[Date]])</f>
        <v>6</v>
      </c>
    </row>
    <row r="284" spans="1:11" x14ac:dyDescent="0.25">
      <c r="A284" s="5">
        <v>45470</v>
      </c>
      <c r="B284" t="s">
        <v>10</v>
      </c>
      <c r="C284">
        <v>5</v>
      </c>
      <c r="E284" t="s">
        <v>11</v>
      </c>
      <c r="F284" t="s">
        <v>86</v>
      </c>
      <c r="G284" t="s">
        <v>70</v>
      </c>
      <c r="H284">
        <f>Tabla1[[#This Row],[Credit]]-Tabla1[[#This Row],[Debit]]</f>
        <v>-5</v>
      </c>
      <c r="I284" t="str">
        <f>TEXT(Tabla1[[#This Row],[Date]],"mmmm")</f>
        <v>junio</v>
      </c>
      <c r="J284" t="str">
        <f>TEXT(DAY(Tabla1[[#This Row],[Date]]),"dddd")</f>
        <v>viernes</v>
      </c>
      <c r="K284">
        <f>MONTH(Tabla1[[#This Row],[Date]])</f>
        <v>6</v>
      </c>
    </row>
    <row r="285" spans="1:11" x14ac:dyDescent="0.25">
      <c r="A285" s="5">
        <v>45470</v>
      </c>
      <c r="B285" t="s">
        <v>17</v>
      </c>
      <c r="C285">
        <v>166.9</v>
      </c>
      <c r="E285" t="s">
        <v>95</v>
      </c>
      <c r="F285" t="s">
        <v>87</v>
      </c>
      <c r="G285" t="s">
        <v>70</v>
      </c>
      <c r="H285">
        <f>Tabla1[[#This Row],[Credit]]-Tabla1[[#This Row],[Debit]]</f>
        <v>-166.9</v>
      </c>
      <c r="I285" t="str">
        <f>TEXT(Tabla1[[#This Row],[Date]],"mmmm")</f>
        <v>junio</v>
      </c>
      <c r="J285" t="str">
        <f>TEXT(DAY(Tabla1[[#This Row],[Date]]),"dddd")</f>
        <v>viernes</v>
      </c>
      <c r="K285">
        <f>MONTH(Tabla1[[#This Row],[Date]])</f>
        <v>6</v>
      </c>
    </row>
    <row r="286" spans="1:11" x14ac:dyDescent="0.25">
      <c r="A286" s="5">
        <v>45471</v>
      </c>
      <c r="B286" t="s">
        <v>41</v>
      </c>
      <c r="C286">
        <v>129.9</v>
      </c>
      <c r="E286" t="s">
        <v>97</v>
      </c>
      <c r="F286" t="s">
        <v>91</v>
      </c>
      <c r="G286" t="s">
        <v>70</v>
      </c>
      <c r="H286">
        <f>Tabla1[[#This Row],[Credit]]-Tabla1[[#This Row],[Debit]]</f>
        <v>-129.9</v>
      </c>
      <c r="I286" t="str">
        <f>TEXT(Tabla1[[#This Row],[Date]],"mmmm")</f>
        <v>junio</v>
      </c>
      <c r="J286" t="str">
        <f>TEXT(DAY(Tabla1[[#This Row],[Date]]),"dddd")</f>
        <v>sábado</v>
      </c>
      <c r="K286">
        <f>MONTH(Tabla1[[#This Row],[Date]])</f>
        <v>6</v>
      </c>
    </row>
    <row r="287" spans="1:11" x14ac:dyDescent="0.25">
      <c r="A287" s="5">
        <v>45471</v>
      </c>
      <c r="B287" t="s">
        <v>42</v>
      </c>
      <c r="C287">
        <v>180.29999999999998</v>
      </c>
      <c r="E287" t="s">
        <v>23</v>
      </c>
      <c r="F287" t="s">
        <v>91</v>
      </c>
      <c r="G287" t="s">
        <v>70</v>
      </c>
      <c r="H287">
        <f>Tabla1[[#This Row],[Credit]]-Tabla1[[#This Row],[Debit]]</f>
        <v>-180.29999999999998</v>
      </c>
      <c r="I287" t="str">
        <f>TEXT(Tabla1[[#This Row],[Date]],"mmmm")</f>
        <v>junio</v>
      </c>
      <c r="J287" t="str">
        <f>TEXT(DAY(Tabla1[[#This Row],[Date]]),"dddd")</f>
        <v>sábado</v>
      </c>
      <c r="K287">
        <f>MONTH(Tabla1[[#This Row],[Date]])</f>
        <v>6</v>
      </c>
    </row>
    <row r="288" spans="1:11" x14ac:dyDescent="0.25">
      <c r="A288" s="5">
        <v>45472</v>
      </c>
      <c r="B288" t="s">
        <v>24</v>
      </c>
      <c r="C288">
        <v>150.1</v>
      </c>
      <c r="E288" t="s">
        <v>97</v>
      </c>
      <c r="F288" t="s">
        <v>91</v>
      </c>
      <c r="G288" t="s">
        <v>70</v>
      </c>
      <c r="H288">
        <f>Tabla1[[#This Row],[Credit]]-Tabla1[[#This Row],[Debit]]</f>
        <v>-150.1</v>
      </c>
      <c r="I288" t="str">
        <f>TEXT(Tabla1[[#This Row],[Date]],"mmmm")</f>
        <v>junio</v>
      </c>
      <c r="J288" t="str">
        <f>TEXT(DAY(Tabla1[[#This Row],[Date]]),"dddd")</f>
        <v>domingo</v>
      </c>
      <c r="K288">
        <f>MONTH(Tabla1[[#This Row],[Date]])</f>
        <v>6</v>
      </c>
    </row>
    <row r="289" spans="1:11" x14ac:dyDescent="0.25">
      <c r="A289" s="5">
        <v>45472</v>
      </c>
      <c r="B289" t="s">
        <v>28</v>
      </c>
      <c r="C289">
        <v>28.200000000000003</v>
      </c>
      <c r="E289" t="s">
        <v>29</v>
      </c>
      <c r="F289" t="s">
        <v>89</v>
      </c>
      <c r="G289" t="s">
        <v>70</v>
      </c>
      <c r="H289">
        <f>Tabla1[[#This Row],[Credit]]-Tabla1[[#This Row],[Debit]]</f>
        <v>-28.200000000000003</v>
      </c>
      <c r="I289" t="str">
        <f>TEXT(Tabla1[[#This Row],[Date]],"mmmm")</f>
        <v>junio</v>
      </c>
      <c r="J289" t="str">
        <f>TEXT(DAY(Tabla1[[#This Row],[Date]]),"dddd")</f>
        <v>domingo</v>
      </c>
      <c r="K289">
        <f>MONTH(Tabla1[[#This Row],[Date]])</f>
        <v>6</v>
      </c>
    </row>
    <row r="290" spans="1:11" x14ac:dyDescent="0.25">
      <c r="A290" s="5">
        <v>45472</v>
      </c>
      <c r="B290" t="s">
        <v>47</v>
      </c>
      <c r="C290">
        <v>15</v>
      </c>
      <c r="E290" t="s">
        <v>27</v>
      </c>
      <c r="F290" t="s">
        <v>86</v>
      </c>
      <c r="G290" t="s">
        <v>70</v>
      </c>
      <c r="H290">
        <f>Tabla1[[#This Row],[Credit]]-Tabla1[[#This Row],[Debit]]</f>
        <v>-15</v>
      </c>
      <c r="I290" t="str">
        <f>TEXT(Tabla1[[#This Row],[Date]],"mmmm")</f>
        <v>junio</v>
      </c>
      <c r="J290" t="str">
        <f>TEXT(DAY(Tabla1[[#This Row],[Date]]),"dddd")</f>
        <v>domingo</v>
      </c>
      <c r="K290">
        <f>MONTH(Tabla1[[#This Row],[Date]])</f>
        <v>6</v>
      </c>
    </row>
    <row r="291" spans="1:11" x14ac:dyDescent="0.25">
      <c r="A291" s="5">
        <v>45473</v>
      </c>
      <c r="B291" t="s">
        <v>10</v>
      </c>
      <c r="C291">
        <v>5</v>
      </c>
      <c r="E291" t="s">
        <v>11</v>
      </c>
      <c r="F291" t="s">
        <v>86</v>
      </c>
      <c r="G291" t="s">
        <v>70</v>
      </c>
      <c r="H291">
        <f>Tabla1[[#This Row],[Credit]]-Tabla1[[#This Row],[Debit]]</f>
        <v>-5</v>
      </c>
      <c r="I291" t="str">
        <f>TEXT(Tabla1[[#This Row],[Date]],"mmmm")</f>
        <v>junio</v>
      </c>
      <c r="J291" t="str">
        <f>TEXT(DAY(Tabla1[[#This Row],[Date]]),"dddd")</f>
        <v>lunes</v>
      </c>
      <c r="K291">
        <f>MONTH(Tabla1[[#This Row],[Date]])</f>
        <v>6</v>
      </c>
    </row>
    <row r="292" spans="1:11" x14ac:dyDescent="0.25">
      <c r="A292" s="5">
        <v>45474</v>
      </c>
      <c r="B292" t="s">
        <v>10</v>
      </c>
      <c r="C292">
        <v>5</v>
      </c>
      <c r="E292" t="s">
        <v>11</v>
      </c>
      <c r="F292" t="s">
        <v>86</v>
      </c>
      <c r="G292" t="s">
        <v>70</v>
      </c>
      <c r="H292">
        <f>Tabla1[[#This Row],[Credit]]-Tabla1[[#This Row],[Debit]]</f>
        <v>-5</v>
      </c>
      <c r="I292" t="str">
        <f>TEXT(Tabla1[[#This Row],[Date]],"mmmm")</f>
        <v>julio</v>
      </c>
      <c r="J292" t="str">
        <f>TEXT(DAY(Tabla1[[#This Row],[Date]]),"dddd")</f>
        <v>domingo</v>
      </c>
      <c r="K292">
        <f>MONTH(Tabla1[[#This Row],[Date]])</f>
        <v>7</v>
      </c>
    </row>
    <row r="293" spans="1:11" x14ac:dyDescent="0.25">
      <c r="A293" s="5">
        <v>45475</v>
      </c>
      <c r="B293" t="s">
        <v>7</v>
      </c>
      <c r="D293">
        <v>5000</v>
      </c>
      <c r="E293" t="s">
        <v>8</v>
      </c>
      <c r="F293" t="s">
        <v>90</v>
      </c>
      <c r="G293" t="s">
        <v>93</v>
      </c>
      <c r="H293">
        <f>Tabla1[[#This Row],[Credit]]-Tabla1[[#This Row],[Debit]]</f>
        <v>5000</v>
      </c>
      <c r="I293" t="str">
        <f>TEXT(Tabla1[[#This Row],[Date]],"mmmm")</f>
        <v>julio</v>
      </c>
      <c r="J293" t="str">
        <f>TEXT(DAY(Tabla1[[#This Row],[Date]]),"dddd")</f>
        <v>lunes</v>
      </c>
      <c r="K293">
        <f>MONTH(Tabla1[[#This Row],[Date]])</f>
        <v>7</v>
      </c>
    </row>
    <row r="294" spans="1:11" x14ac:dyDescent="0.25">
      <c r="A294" s="5">
        <v>45476</v>
      </c>
      <c r="B294" t="s">
        <v>10</v>
      </c>
      <c r="C294">
        <v>5</v>
      </c>
      <c r="E294" t="s">
        <v>11</v>
      </c>
      <c r="F294" t="s">
        <v>86</v>
      </c>
      <c r="G294" t="s">
        <v>70</v>
      </c>
      <c r="H294">
        <f>Tabla1[[#This Row],[Credit]]-Tabla1[[#This Row],[Debit]]</f>
        <v>-5</v>
      </c>
      <c r="I294" t="str">
        <f>TEXT(Tabla1[[#This Row],[Date]],"mmmm")</f>
        <v>julio</v>
      </c>
      <c r="J294" t="str">
        <f>TEXT(DAY(Tabla1[[#This Row],[Date]]),"dddd")</f>
        <v>martes</v>
      </c>
      <c r="K294">
        <f>MONTH(Tabla1[[#This Row],[Date]])</f>
        <v>7</v>
      </c>
    </row>
    <row r="295" spans="1:11" x14ac:dyDescent="0.25">
      <c r="A295" s="5">
        <v>45478</v>
      </c>
      <c r="B295" t="s">
        <v>13</v>
      </c>
      <c r="C295">
        <v>900</v>
      </c>
      <c r="E295" t="s">
        <v>94</v>
      </c>
      <c r="F295" t="s">
        <v>87</v>
      </c>
      <c r="G295" t="s">
        <v>70</v>
      </c>
      <c r="H295">
        <f>Tabla1[[#This Row],[Credit]]-Tabla1[[#This Row],[Debit]]</f>
        <v>-900</v>
      </c>
      <c r="I295" t="str">
        <f>TEXT(Tabla1[[#This Row],[Date]],"mmmm")</f>
        <v>julio</v>
      </c>
      <c r="J295" t="str">
        <f>TEXT(DAY(Tabla1[[#This Row],[Date]]),"dddd")</f>
        <v>jueves</v>
      </c>
      <c r="K295">
        <f>MONTH(Tabla1[[#This Row],[Date]])</f>
        <v>7</v>
      </c>
    </row>
    <row r="296" spans="1:11" x14ac:dyDescent="0.25">
      <c r="A296" s="5">
        <v>45478</v>
      </c>
      <c r="B296" t="s">
        <v>15</v>
      </c>
      <c r="C296">
        <v>150</v>
      </c>
      <c r="E296" t="s">
        <v>98</v>
      </c>
      <c r="F296" t="s">
        <v>89</v>
      </c>
      <c r="G296" t="s">
        <v>70</v>
      </c>
      <c r="H296">
        <f>Tabla1[[#This Row],[Credit]]-Tabla1[[#This Row],[Debit]]</f>
        <v>-150</v>
      </c>
      <c r="I296" t="str">
        <f>TEXT(Tabla1[[#This Row],[Date]],"mmmm")</f>
        <v>julio</v>
      </c>
      <c r="J296" t="str">
        <f>TEXT(DAY(Tabla1[[#This Row],[Date]]),"dddd")</f>
        <v>jueves</v>
      </c>
      <c r="K296">
        <f>MONTH(Tabla1[[#This Row],[Date]])</f>
        <v>7</v>
      </c>
    </row>
    <row r="297" spans="1:11" x14ac:dyDescent="0.25">
      <c r="A297" s="5">
        <v>45478</v>
      </c>
      <c r="B297" t="s">
        <v>51</v>
      </c>
      <c r="C297">
        <v>15</v>
      </c>
      <c r="E297" t="s">
        <v>27</v>
      </c>
      <c r="F297" t="s">
        <v>86</v>
      </c>
      <c r="G297" t="s">
        <v>70</v>
      </c>
      <c r="H297">
        <f>Tabla1[[#This Row],[Credit]]-Tabla1[[#This Row],[Debit]]</f>
        <v>-15</v>
      </c>
      <c r="I297" t="str">
        <f>TEXT(Tabla1[[#This Row],[Date]],"mmmm")</f>
        <v>julio</v>
      </c>
      <c r="J297" t="str">
        <f>TEXT(DAY(Tabla1[[#This Row],[Date]]),"dddd")</f>
        <v>jueves</v>
      </c>
      <c r="K297">
        <f>MONTH(Tabla1[[#This Row],[Date]])</f>
        <v>7</v>
      </c>
    </row>
    <row r="298" spans="1:11" x14ac:dyDescent="0.25">
      <c r="A298" s="5">
        <v>45478</v>
      </c>
      <c r="B298" t="s">
        <v>10</v>
      </c>
      <c r="C298">
        <v>5</v>
      </c>
      <c r="E298" t="s">
        <v>11</v>
      </c>
      <c r="F298" t="s">
        <v>86</v>
      </c>
      <c r="G298" t="s">
        <v>70</v>
      </c>
      <c r="H298">
        <f>Tabla1[[#This Row],[Credit]]-Tabla1[[#This Row],[Debit]]</f>
        <v>-5</v>
      </c>
      <c r="I298" t="str">
        <f>TEXT(Tabla1[[#This Row],[Date]],"mmmm")</f>
        <v>julio</v>
      </c>
      <c r="J298" t="str">
        <f>TEXT(DAY(Tabla1[[#This Row],[Date]]),"dddd")</f>
        <v>jueves</v>
      </c>
      <c r="K298">
        <f>MONTH(Tabla1[[#This Row],[Date]])</f>
        <v>7</v>
      </c>
    </row>
    <row r="299" spans="1:11" x14ac:dyDescent="0.25">
      <c r="A299" s="5">
        <v>45479</v>
      </c>
      <c r="B299" t="s">
        <v>10</v>
      </c>
      <c r="C299">
        <v>5</v>
      </c>
      <c r="E299" t="s">
        <v>11</v>
      </c>
      <c r="F299" t="s">
        <v>86</v>
      </c>
      <c r="G299" t="s">
        <v>70</v>
      </c>
      <c r="H299">
        <f>Tabla1[[#This Row],[Credit]]-Tabla1[[#This Row],[Debit]]</f>
        <v>-5</v>
      </c>
      <c r="I299" t="str">
        <f>TEXT(Tabla1[[#This Row],[Date]],"mmmm")</f>
        <v>julio</v>
      </c>
      <c r="J299" t="str">
        <f>TEXT(DAY(Tabla1[[#This Row],[Date]]),"dddd")</f>
        <v>viernes</v>
      </c>
      <c r="K299">
        <f>MONTH(Tabla1[[#This Row],[Date]])</f>
        <v>7</v>
      </c>
    </row>
    <row r="300" spans="1:11" x14ac:dyDescent="0.25">
      <c r="A300" s="5">
        <v>45480</v>
      </c>
      <c r="B300" t="s">
        <v>10</v>
      </c>
      <c r="C300">
        <v>5</v>
      </c>
      <c r="E300" t="s">
        <v>11</v>
      </c>
      <c r="F300" t="s">
        <v>86</v>
      </c>
      <c r="G300" t="s">
        <v>70</v>
      </c>
      <c r="H300">
        <f>Tabla1[[#This Row],[Credit]]-Tabla1[[#This Row],[Debit]]</f>
        <v>-5</v>
      </c>
      <c r="I300" t="str">
        <f>TEXT(Tabla1[[#This Row],[Date]],"mmmm")</f>
        <v>julio</v>
      </c>
      <c r="J300" t="str">
        <f>TEXT(DAY(Tabla1[[#This Row],[Date]]),"dddd")</f>
        <v>sábado</v>
      </c>
      <c r="K300">
        <f>MONTH(Tabla1[[#This Row],[Date]])</f>
        <v>7</v>
      </c>
    </row>
    <row r="301" spans="1:11" x14ac:dyDescent="0.25">
      <c r="A301" s="5">
        <v>45480</v>
      </c>
      <c r="B301" t="s">
        <v>17</v>
      </c>
      <c r="C301">
        <v>180</v>
      </c>
      <c r="E301" t="s">
        <v>95</v>
      </c>
      <c r="F301" t="s">
        <v>87</v>
      </c>
      <c r="G301" t="s">
        <v>70</v>
      </c>
      <c r="H301">
        <f>Tabla1[[#This Row],[Credit]]-Tabla1[[#This Row],[Debit]]</f>
        <v>-180</v>
      </c>
      <c r="I301" t="str">
        <f>TEXT(Tabla1[[#This Row],[Date]],"mmmm")</f>
        <v>julio</v>
      </c>
      <c r="J301" t="str">
        <f>TEXT(DAY(Tabla1[[#This Row],[Date]]),"dddd")</f>
        <v>sábado</v>
      </c>
      <c r="K301">
        <f>MONTH(Tabla1[[#This Row],[Date]])</f>
        <v>7</v>
      </c>
    </row>
    <row r="302" spans="1:11" x14ac:dyDescent="0.25">
      <c r="A302" s="5">
        <v>45483</v>
      </c>
      <c r="B302" t="s">
        <v>19</v>
      </c>
      <c r="C302">
        <v>56.1</v>
      </c>
      <c r="E302" t="s">
        <v>20</v>
      </c>
      <c r="F302" t="s">
        <v>87</v>
      </c>
      <c r="G302" t="s">
        <v>70</v>
      </c>
      <c r="H302">
        <f>Tabla1[[#This Row],[Credit]]-Tabla1[[#This Row],[Debit]]</f>
        <v>-56.1</v>
      </c>
      <c r="I302" t="str">
        <f>TEXT(Tabla1[[#This Row],[Date]],"mmmm")</f>
        <v>julio</v>
      </c>
      <c r="J302" t="str">
        <f>TEXT(DAY(Tabla1[[#This Row],[Date]]),"dddd")</f>
        <v>martes</v>
      </c>
      <c r="K302">
        <f>MONTH(Tabla1[[#This Row],[Date]])</f>
        <v>7</v>
      </c>
    </row>
    <row r="303" spans="1:11" x14ac:dyDescent="0.25">
      <c r="A303" s="5">
        <v>45483</v>
      </c>
      <c r="B303" t="s">
        <v>10</v>
      </c>
      <c r="C303">
        <v>5</v>
      </c>
      <c r="E303" t="s">
        <v>11</v>
      </c>
      <c r="F303" t="s">
        <v>86</v>
      </c>
      <c r="G303" t="s">
        <v>70</v>
      </c>
      <c r="H303">
        <f>Tabla1[[#This Row],[Credit]]-Tabla1[[#This Row],[Debit]]</f>
        <v>-5</v>
      </c>
      <c r="I303" t="str">
        <f>TEXT(Tabla1[[#This Row],[Date]],"mmmm")</f>
        <v>julio</v>
      </c>
      <c r="J303" t="str">
        <f>TEXT(DAY(Tabla1[[#This Row],[Date]]),"dddd")</f>
        <v>martes</v>
      </c>
      <c r="K303">
        <f>MONTH(Tabla1[[#This Row],[Date]])</f>
        <v>7</v>
      </c>
    </row>
    <row r="304" spans="1:11" x14ac:dyDescent="0.25">
      <c r="A304" s="5">
        <v>45484</v>
      </c>
      <c r="B304" t="s">
        <v>10</v>
      </c>
      <c r="C304">
        <v>5</v>
      </c>
      <c r="E304" t="s">
        <v>11</v>
      </c>
      <c r="F304" t="s">
        <v>86</v>
      </c>
      <c r="G304" t="s">
        <v>70</v>
      </c>
      <c r="H304">
        <f>Tabla1[[#This Row],[Credit]]-Tabla1[[#This Row],[Debit]]</f>
        <v>-5</v>
      </c>
      <c r="I304" t="str">
        <f>TEXT(Tabla1[[#This Row],[Date]],"mmmm")</f>
        <v>julio</v>
      </c>
      <c r="J304" t="str">
        <f>TEXT(DAY(Tabla1[[#This Row],[Date]]),"dddd")</f>
        <v>miércoles</v>
      </c>
      <c r="K304">
        <f>MONTH(Tabla1[[#This Row],[Date]])</f>
        <v>7</v>
      </c>
    </row>
    <row r="305" spans="1:11" x14ac:dyDescent="0.25">
      <c r="A305" s="5">
        <v>45485</v>
      </c>
      <c r="B305" t="s">
        <v>21</v>
      </c>
      <c r="C305">
        <v>83.1</v>
      </c>
      <c r="E305" t="s">
        <v>96</v>
      </c>
      <c r="F305" t="s">
        <v>89</v>
      </c>
      <c r="G305" t="s">
        <v>70</v>
      </c>
      <c r="H305">
        <f>Tabla1[[#This Row],[Credit]]-Tabla1[[#This Row],[Debit]]</f>
        <v>-83.1</v>
      </c>
      <c r="I305" t="str">
        <f>TEXT(Tabla1[[#This Row],[Date]],"mmmm")</f>
        <v>julio</v>
      </c>
      <c r="J305" t="str">
        <f>TEXT(DAY(Tabla1[[#This Row],[Date]]),"dddd")</f>
        <v>jueves</v>
      </c>
      <c r="K305">
        <f>MONTH(Tabla1[[#This Row],[Date]])</f>
        <v>7</v>
      </c>
    </row>
    <row r="306" spans="1:11" x14ac:dyDescent="0.25">
      <c r="A306" s="5">
        <v>45485</v>
      </c>
      <c r="B306" t="s">
        <v>10</v>
      </c>
      <c r="C306">
        <v>5</v>
      </c>
      <c r="E306" t="s">
        <v>11</v>
      </c>
      <c r="F306" t="s">
        <v>86</v>
      </c>
      <c r="G306" t="s">
        <v>70</v>
      </c>
      <c r="H306">
        <f>Tabla1[[#This Row],[Credit]]-Tabla1[[#This Row],[Debit]]</f>
        <v>-5</v>
      </c>
      <c r="I306" t="str">
        <f>TEXT(Tabla1[[#This Row],[Date]],"mmmm")</f>
        <v>julio</v>
      </c>
      <c r="J306" t="str">
        <f>TEXT(DAY(Tabla1[[#This Row],[Date]]),"dddd")</f>
        <v>jueves</v>
      </c>
      <c r="K306">
        <f>MONTH(Tabla1[[#This Row],[Date]])</f>
        <v>7</v>
      </c>
    </row>
    <row r="307" spans="1:11" x14ac:dyDescent="0.25">
      <c r="A307" s="5">
        <v>45486</v>
      </c>
      <c r="B307" t="s">
        <v>10</v>
      </c>
      <c r="C307">
        <v>5</v>
      </c>
      <c r="E307" t="s">
        <v>11</v>
      </c>
      <c r="F307" t="s">
        <v>86</v>
      </c>
      <c r="G307" t="s">
        <v>70</v>
      </c>
      <c r="H307">
        <f>Tabla1[[#This Row],[Credit]]-Tabla1[[#This Row],[Debit]]</f>
        <v>-5</v>
      </c>
      <c r="I307" t="str">
        <f>TEXT(Tabla1[[#This Row],[Date]],"mmmm")</f>
        <v>julio</v>
      </c>
      <c r="J307" t="str">
        <f>TEXT(DAY(Tabla1[[#This Row],[Date]]),"dddd")</f>
        <v>viernes</v>
      </c>
      <c r="K307">
        <f>MONTH(Tabla1[[#This Row],[Date]])</f>
        <v>7</v>
      </c>
    </row>
    <row r="308" spans="1:11" x14ac:dyDescent="0.25">
      <c r="A308" s="5">
        <v>45487</v>
      </c>
      <c r="B308" t="s">
        <v>17</v>
      </c>
      <c r="C308">
        <v>141.1</v>
      </c>
      <c r="E308" t="s">
        <v>95</v>
      </c>
      <c r="F308" t="s">
        <v>87</v>
      </c>
      <c r="G308" t="s">
        <v>70</v>
      </c>
      <c r="H308">
        <f>Tabla1[[#This Row],[Credit]]-Tabla1[[#This Row],[Debit]]</f>
        <v>-141.1</v>
      </c>
      <c r="I308" t="str">
        <f>TEXT(Tabla1[[#This Row],[Date]],"mmmm")</f>
        <v>julio</v>
      </c>
      <c r="J308" t="str">
        <f>TEXT(DAY(Tabla1[[#This Row],[Date]]),"dddd")</f>
        <v>sábado</v>
      </c>
      <c r="K308">
        <f>MONTH(Tabla1[[#This Row],[Date]])</f>
        <v>7</v>
      </c>
    </row>
    <row r="309" spans="1:11" x14ac:dyDescent="0.25">
      <c r="A309" s="5">
        <v>45487</v>
      </c>
      <c r="B309" t="s">
        <v>10</v>
      </c>
      <c r="C309">
        <v>5</v>
      </c>
      <c r="E309" t="s">
        <v>11</v>
      </c>
      <c r="F309" t="s">
        <v>86</v>
      </c>
      <c r="G309" t="s">
        <v>70</v>
      </c>
      <c r="H309">
        <f>Tabla1[[#This Row],[Credit]]-Tabla1[[#This Row],[Debit]]</f>
        <v>-5</v>
      </c>
      <c r="I309" t="str">
        <f>TEXT(Tabla1[[#This Row],[Date]],"mmmm")</f>
        <v>julio</v>
      </c>
      <c r="J309" t="str">
        <f>TEXT(DAY(Tabla1[[#This Row],[Date]]),"dddd")</f>
        <v>sábado</v>
      </c>
      <c r="K309">
        <f>MONTH(Tabla1[[#This Row],[Date]])</f>
        <v>7</v>
      </c>
    </row>
    <row r="310" spans="1:11" x14ac:dyDescent="0.25">
      <c r="A310" s="5">
        <v>45488</v>
      </c>
      <c r="B310" t="s">
        <v>10</v>
      </c>
      <c r="C310">
        <v>5</v>
      </c>
      <c r="E310" t="s">
        <v>11</v>
      </c>
      <c r="F310" t="s">
        <v>86</v>
      </c>
      <c r="G310" t="s">
        <v>70</v>
      </c>
      <c r="H310">
        <f>Tabla1[[#This Row],[Credit]]-Tabla1[[#This Row],[Debit]]</f>
        <v>-5</v>
      </c>
      <c r="I310" t="str">
        <f>TEXT(Tabla1[[#This Row],[Date]],"mmmm")</f>
        <v>julio</v>
      </c>
      <c r="J310" t="str">
        <f>TEXT(DAY(Tabla1[[#This Row],[Date]]),"dddd")</f>
        <v>domingo</v>
      </c>
      <c r="K310">
        <f>MONTH(Tabla1[[#This Row],[Date]])</f>
        <v>7</v>
      </c>
    </row>
    <row r="311" spans="1:11" x14ac:dyDescent="0.25">
      <c r="A311" s="5">
        <v>45488</v>
      </c>
      <c r="B311" t="s">
        <v>22</v>
      </c>
      <c r="C311">
        <v>45.8</v>
      </c>
      <c r="E311" t="s">
        <v>23</v>
      </c>
      <c r="F311" t="s">
        <v>91</v>
      </c>
      <c r="G311" t="s">
        <v>70</v>
      </c>
      <c r="H311">
        <f>Tabla1[[#This Row],[Credit]]-Tabla1[[#This Row],[Debit]]</f>
        <v>-45.8</v>
      </c>
      <c r="I311" t="str">
        <f>TEXT(Tabla1[[#This Row],[Date]],"mmmm")</f>
        <v>julio</v>
      </c>
      <c r="J311" t="str">
        <f>TEXT(DAY(Tabla1[[#This Row],[Date]]),"dddd")</f>
        <v>domingo</v>
      </c>
      <c r="K311">
        <f>MONTH(Tabla1[[#This Row],[Date]])</f>
        <v>7</v>
      </c>
    </row>
    <row r="312" spans="1:11" x14ac:dyDescent="0.25">
      <c r="A312" s="5">
        <v>45488</v>
      </c>
      <c r="B312" t="s">
        <v>24</v>
      </c>
      <c r="C312">
        <v>103.80000000000001</v>
      </c>
      <c r="E312" t="s">
        <v>97</v>
      </c>
      <c r="F312" t="s">
        <v>91</v>
      </c>
      <c r="G312" t="s">
        <v>70</v>
      </c>
      <c r="H312">
        <f>Tabla1[[#This Row],[Credit]]-Tabla1[[#This Row],[Debit]]</f>
        <v>-103.80000000000001</v>
      </c>
      <c r="I312" t="str">
        <f>TEXT(Tabla1[[#This Row],[Date]],"mmmm")</f>
        <v>julio</v>
      </c>
      <c r="J312" t="str">
        <f>TEXT(DAY(Tabla1[[#This Row],[Date]]),"dddd")</f>
        <v>domingo</v>
      </c>
      <c r="K312">
        <f>MONTH(Tabla1[[#This Row],[Date]])</f>
        <v>7</v>
      </c>
    </row>
    <row r="313" spans="1:11" x14ac:dyDescent="0.25">
      <c r="A313" s="5">
        <v>45488</v>
      </c>
      <c r="B313" t="s">
        <v>26</v>
      </c>
      <c r="C313">
        <v>58</v>
      </c>
      <c r="E313" t="s">
        <v>27</v>
      </c>
      <c r="F313" t="s">
        <v>86</v>
      </c>
      <c r="G313" t="s">
        <v>70</v>
      </c>
      <c r="H313">
        <f>Tabla1[[#This Row],[Credit]]-Tabla1[[#This Row],[Debit]]</f>
        <v>-58</v>
      </c>
      <c r="I313" t="str">
        <f>TEXT(Tabla1[[#This Row],[Date]],"mmmm")</f>
        <v>julio</v>
      </c>
      <c r="J313" t="str">
        <f>TEXT(DAY(Tabla1[[#This Row],[Date]]),"dddd")</f>
        <v>domingo</v>
      </c>
      <c r="K313">
        <f>MONTH(Tabla1[[#This Row],[Date]])</f>
        <v>7</v>
      </c>
    </row>
    <row r="314" spans="1:11" x14ac:dyDescent="0.25">
      <c r="A314" s="5">
        <v>45489</v>
      </c>
      <c r="B314" t="s">
        <v>28</v>
      </c>
      <c r="C314">
        <v>34.200000000000003</v>
      </c>
      <c r="E314" t="s">
        <v>29</v>
      </c>
      <c r="F314" t="s">
        <v>89</v>
      </c>
      <c r="G314" t="s">
        <v>70</v>
      </c>
      <c r="H314">
        <f>Tabla1[[#This Row],[Credit]]-Tabla1[[#This Row],[Debit]]</f>
        <v>-34.200000000000003</v>
      </c>
      <c r="I314" t="str">
        <f>TEXT(Tabla1[[#This Row],[Date]],"mmmm")</f>
        <v>julio</v>
      </c>
      <c r="J314" t="str">
        <f>TEXT(DAY(Tabla1[[#This Row],[Date]]),"dddd")</f>
        <v>lunes</v>
      </c>
      <c r="K314">
        <f>MONTH(Tabla1[[#This Row],[Date]])</f>
        <v>7</v>
      </c>
    </row>
    <row r="315" spans="1:11" x14ac:dyDescent="0.25">
      <c r="A315" s="5">
        <v>45490</v>
      </c>
      <c r="B315" t="s">
        <v>30</v>
      </c>
      <c r="D315">
        <v>200</v>
      </c>
      <c r="E315" t="s">
        <v>31</v>
      </c>
      <c r="F315" t="s">
        <v>92</v>
      </c>
      <c r="G315" t="s">
        <v>93</v>
      </c>
      <c r="H315">
        <f>Tabla1[[#This Row],[Credit]]-Tabla1[[#This Row],[Debit]]</f>
        <v>200</v>
      </c>
      <c r="I315" t="str">
        <f>TEXT(Tabla1[[#This Row],[Date]],"mmmm")</f>
        <v>julio</v>
      </c>
      <c r="J315" t="str">
        <f>TEXT(DAY(Tabla1[[#This Row],[Date]]),"dddd")</f>
        <v>martes</v>
      </c>
      <c r="K315">
        <f>MONTH(Tabla1[[#This Row],[Date]])</f>
        <v>7</v>
      </c>
    </row>
    <row r="316" spans="1:11" x14ac:dyDescent="0.25">
      <c r="A316" s="5">
        <v>45490</v>
      </c>
      <c r="B316" t="s">
        <v>10</v>
      </c>
      <c r="C316">
        <v>5</v>
      </c>
      <c r="E316" t="s">
        <v>11</v>
      </c>
      <c r="F316" t="s">
        <v>86</v>
      </c>
      <c r="G316" t="s">
        <v>70</v>
      </c>
      <c r="H316">
        <f>Tabla1[[#This Row],[Credit]]-Tabla1[[#This Row],[Debit]]</f>
        <v>-5</v>
      </c>
      <c r="I316" t="str">
        <f>TEXT(Tabla1[[#This Row],[Date]],"mmmm")</f>
        <v>julio</v>
      </c>
      <c r="J316" t="str">
        <f>TEXT(DAY(Tabla1[[#This Row],[Date]]),"dddd")</f>
        <v>martes</v>
      </c>
      <c r="K316">
        <f>MONTH(Tabla1[[#This Row],[Date]])</f>
        <v>7</v>
      </c>
    </row>
    <row r="317" spans="1:11" x14ac:dyDescent="0.25">
      <c r="A317" s="5">
        <v>45491</v>
      </c>
      <c r="B317" t="s">
        <v>10</v>
      </c>
      <c r="C317">
        <v>5</v>
      </c>
      <c r="E317" t="s">
        <v>11</v>
      </c>
      <c r="F317" t="s">
        <v>86</v>
      </c>
      <c r="G317" t="s">
        <v>70</v>
      </c>
      <c r="H317">
        <f>Tabla1[[#This Row],[Credit]]-Tabla1[[#This Row],[Debit]]</f>
        <v>-5</v>
      </c>
      <c r="I317" t="str">
        <f>TEXT(Tabla1[[#This Row],[Date]],"mmmm")</f>
        <v>julio</v>
      </c>
      <c r="J317" t="str">
        <f>TEXT(DAY(Tabla1[[#This Row],[Date]]),"dddd")</f>
        <v>miércoles</v>
      </c>
      <c r="K317">
        <f>MONTH(Tabla1[[#This Row],[Date]])</f>
        <v>7</v>
      </c>
    </row>
    <row r="318" spans="1:11" x14ac:dyDescent="0.25">
      <c r="A318" s="5">
        <v>45491</v>
      </c>
      <c r="B318" t="s">
        <v>33</v>
      </c>
      <c r="C318">
        <v>40</v>
      </c>
      <c r="E318" t="s">
        <v>33</v>
      </c>
      <c r="F318" t="s">
        <v>87</v>
      </c>
      <c r="G318" t="s">
        <v>70</v>
      </c>
      <c r="H318">
        <f>Tabla1[[#This Row],[Credit]]-Tabla1[[#This Row],[Debit]]</f>
        <v>-40</v>
      </c>
      <c r="I318" t="str">
        <f>TEXT(Tabla1[[#This Row],[Date]],"mmmm")</f>
        <v>julio</v>
      </c>
      <c r="J318" t="str">
        <f>TEXT(DAY(Tabla1[[#This Row],[Date]]),"dddd")</f>
        <v>miércoles</v>
      </c>
      <c r="K318">
        <f>MONTH(Tabla1[[#This Row],[Date]])</f>
        <v>7</v>
      </c>
    </row>
    <row r="319" spans="1:11" x14ac:dyDescent="0.25">
      <c r="A319" s="5">
        <v>45492</v>
      </c>
      <c r="B319" t="s">
        <v>34</v>
      </c>
      <c r="C319">
        <v>51.1</v>
      </c>
      <c r="E319" t="s">
        <v>35</v>
      </c>
      <c r="F319" t="s">
        <v>91</v>
      </c>
      <c r="G319" t="s">
        <v>70</v>
      </c>
      <c r="H319">
        <f>Tabla1[[#This Row],[Credit]]-Tabla1[[#This Row],[Debit]]</f>
        <v>-51.1</v>
      </c>
      <c r="I319" t="str">
        <f>TEXT(Tabla1[[#This Row],[Date]],"mmmm")</f>
        <v>julio</v>
      </c>
      <c r="J319" t="str">
        <f>TEXT(DAY(Tabla1[[#This Row],[Date]]),"dddd")</f>
        <v>jueves</v>
      </c>
      <c r="K319">
        <f>MONTH(Tabla1[[#This Row],[Date]])</f>
        <v>7</v>
      </c>
    </row>
    <row r="320" spans="1:11" x14ac:dyDescent="0.25">
      <c r="A320" s="5">
        <v>45492</v>
      </c>
      <c r="B320" t="s">
        <v>36</v>
      </c>
      <c r="C320">
        <v>35</v>
      </c>
      <c r="E320" t="s">
        <v>23</v>
      </c>
      <c r="F320" t="s">
        <v>91</v>
      </c>
      <c r="G320" t="s">
        <v>70</v>
      </c>
      <c r="H320">
        <f>Tabla1[[#This Row],[Credit]]-Tabla1[[#This Row],[Debit]]</f>
        <v>-35</v>
      </c>
      <c r="I320" t="str">
        <f>TEXT(Tabla1[[#This Row],[Date]],"mmmm")</f>
        <v>julio</v>
      </c>
      <c r="J320" t="str">
        <f>TEXT(DAY(Tabla1[[#This Row],[Date]]),"dddd")</f>
        <v>jueves</v>
      </c>
      <c r="K320">
        <f>MONTH(Tabla1[[#This Row],[Date]])</f>
        <v>7</v>
      </c>
    </row>
    <row r="321" spans="1:11" x14ac:dyDescent="0.25">
      <c r="A321" s="5">
        <v>45492</v>
      </c>
      <c r="B321" t="s">
        <v>10</v>
      </c>
      <c r="C321">
        <v>5</v>
      </c>
      <c r="E321" t="s">
        <v>11</v>
      </c>
      <c r="F321" t="s">
        <v>86</v>
      </c>
      <c r="G321" t="s">
        <v>70</v>
      </c>
      <c r="H321">
        <f>Tabla1[[#This Row],[Credit]]-Tabla1[[#This Row],[Debit]]</f>
        <v>-5</v>
      </c>
      <c r="I321" t="str">
        <f>TEXT(Tabla1[[#This Row],[Date]],"mmmm")</f>
        <v>julio</v>
      </c>
      <c r="J321" t="str">
        <f>TEXT(DAY(Tabla1[[#This Row],[Date]]),"dddd")</f>
        <v>jueves</v>
      </c>
      <c r="K321">
        <f>MONTH(Tabla1[[#This Row],[Date]])</f>
        <v>7</v>
      </c>
    </row>
    <row r="322" spans="1:11" x14ac:dyDescent="0.25">
      <c r="A322" s="5">
        <v>45493</v>
      </c>
      <c r="B322" t="s">
        <v>10</v>
      </c>
      <c r="C322">
        <v>5</v>
      </c>
      <c r="E322" t="s">
        <v>11</v>
      </c>
      <c r="F322" t="s">
        <v>86</v>
      </c>
      <c r="G322" t="s">
        <v>70</v>
      </c>
      <c r="H322">
        <f>Tabla1[[#This Row],[Credit]]-Tabla1[[#This Row],[Debit]]</f>
        <v>-5</v>
      </c>
      <c r="I322" t="str">
        <f>TEXT(Tabla1[[#This Row],[Date]],"mmmm")</f>
        <v>julio</v>
      </c>
      <c r="J322" t="str">
        <f>TEXT(DAY(Tabla1[[#This Row],[Date]]),"dddd")</f>
        <v>viernes</v>
      </c>
      <c r="K322">
        <f>MONTH(Tabla1[[#This Row],[Date]])</f>
        <v>7</v>
      </c>
    </row>
    <row r="323" spans="1:11" x14ac:dyDescent="0.25">
      <c r="A323" s="5">
        <v>45494</v>
      </c>
      <c r="B323" t="s">
        <v>10</v>
      </c>
      <c r="C323">
        <v>5</v>
      </c>
      <c r="E323" t="s">
        <v>11</v>
      </c>
      <c r="F323" t="s">
        <v>86</v>
      </c>
      <c r="G323" t="s">
        <v>70</v>
      </c>
      <c r="H323">
        <f>Tabla1[[#This Row],[Credit]]-Tabla1[[#This Row],[Debit]]</f>
        <v>-5</v>
      </c>
      <c r="I323" t="str">
        <f>TEXT(Tabla1[[#This Row],[Date]],"mmmm")</f>
        <v>julio</v>
      </c>
      <c r="J323" t="str">
        <f>TEXT(DAY(Tabla1[[#This Row],[Date]]),"dddd")</f>
        <v>sábado</v>
      </c>
      <c r="K323">
        <f>MONTH(Tabla1[[#This Row],[Date]])</f>
        <v>7</v>
      </c>
    </row>
    <row r="324" spans="1:11" x14ac:dyDescent="0.25">
      <c r="A324" s="5">
        <v>45494</v>
      </c>
      <c r="B324" t="s">
        <v>17</v>
      </c>
      <c r="C324">
        <v>176</v>
      </c>
      <c r="E324" t="s">
        <v>95</v>
      </c>
      <c r="F324" t="s">
        <v>87</v>
      </c>
      <c r="G324" t="s">
        <v>70</v>
      </c>
      <c r="H324">
        <f>Tabla1[[#This Row],[Credit]]-Tabla1[[#This Row],[Debit]]</f>
        <v>-176</v>
      </c>
      <c r="I324" t="str">
        <f>TEXT(Tabla1[[#This Row],[Date]],"mmmm")</f>
        <v>julio</v>
      </c>
      <c r="J324" t="str">
        <f>TEXT(DAY(Tabla1[[#This Row],[Date]]),"dddd")</f>
        <v>sábado</v>
      </c>
      <c r="K324">
        <f>MONTH(Tabla1[[#This Row],[Date]])</f>
        <v>7</v>
      </c>
    </row>
    <row r="325" spans="1:11" x14ac:dyDescent="0.25">
      <c r="A325" s="5">
        <v>45495</v>
      </c>
      <c r="B325" t="s">
        <v>37</v>
      </c>
      <c r="C325">
        <v>43.1</v>
      </c>
      <c r="E325" t="s">
        <v>27</v>
      </c>
      <c r="F325" t="s">
        <v>86</v>
      </c>
      <c r="G325" t="s">
        <v>70</v>
      </c>
      <c r="H325">
        <f>Tabla1[[#This Row],[Credit]]-Tabla1[[#This Row],[Debit]]</f>
        <v>-43.1</v>
      </c>
      <c r="I325" t="str">
        <f>TEXT(Tabla1[[#This Row],[Date]],"mmmm")</f>
        <v>julio</v>
      </c>
      <c r="J325" t="str">
        <f>TEXT(DAY(Tabla1[[#This Row],[Date]]),"dddd")</f>
        <v>domingo</v>
      </c>
      <c r="K325">
        <f>MONTH(Tabla1[[#This Row],[Date]])</f>
        <v>7</v>
      </c>
    </row>
    <row r="326" spans="1:11" x14ac:dyDescent="0.25">
      <c r="A326" s="5">
        <v>45496</v>
      </c>
      <c r="B326" t="s">
        <v>38</v>
      </c>
      <c r="C326">
        <v>18.2</v>
      </c>
      <c r="E326" t="s">
        <v>27</v>
      </c>
      <c r="F326" t="s">
        <v>86</v>
      </c>
      <c r="G326" t="s">
        <v>70</v>
      </c>
      <c r="H326">
        <f>Tabla1[[#This Row],[Credit]]-Tabla1[[#This Row],[Debit]]</f>
        <v>-18.2</v>
      </c>
      <c r="I326" t="str">
        <f>TEXT(Tabla1[[#This Row],[Date]],"mmmm")</f>
        <v>julio</v>
      </c>
      <c r="J326" t="str">
        <f>TEXT(DAY(Tabla1[[#This Row],[Date]]),"dddd")</f>
        <v>lunes</v>
      </c>
      <c r="K326">
        <f>MONTH(Tabla1[[#This Row],[Date]])</f>
        <v>7</v>
      </c>
    </row>
    <row r="327" spans="1:11" x14ac:dyDescent="0.25">
      <c r="A327" s="5">
        <v>45497</v>
      </c>
      <c r="B327" t="s">
        <v>39</v>
      </c>
      <c r="C327">
        <v>55</v>
      </c>
      <c r="E327" t="s">
        <v>40</v>
      </c>
      <c r="F327" t="s">
        <v>85</v>
      </c>
      <c r="G327" t="s">
        <v>70</v>
      </c>
      <c r="H327">
        <f>Tabla1[[#This Row],[Credit]]-Tabla1[[#This Row],[Debit]]</f>
        <v>-55</v>
      </c>
      <c r="I327" t="str">
        <f>TEXT(Tabla1[[#This Row],[Date]],"mmmm")</f>
        <v>julio</v>
      </c>
      <c r="J327" t="str">
        <f>TEXT(DAY(Tabla1[[#This Row],[Date]]),"dddd")</f>
        <v>martes</v>
      </c>
      <c r="K327">
        <f>MONTH(Tabla1[[#This Row],[Date]])</f>
        <v>7</v>
      </c>
    </row>
    <row r="328" spans="1:11" x14ac:dyDescent="0.25">
      <c r="A328" s="5">
        <v>45497</v>
      </c>
      <c r="B328" t="s">
        <v>21</v>
      </c>
      <c r="C328">
        <v>68.800000000000011</v>
      </c>
      <c r="E328" t="s">
        <v>96</v>
      </c>
      <c r="F328" t="s">
        <v>89</v>
      </c>
      <c r="G328" t="s">
        <v>70</v>
      </c>
      <c r="H328">
        <f>Tabla1[[#This Row],[Credit]]-Tabla1[[#This Row],[Debit]]</f>
        <v>-68.800000000000011</v>
      </c>
      <c r="I328" t="str">
        <f>TEXT(Tabla1[[#This Row],[Date]],"mmmm")</f>
        <v>julio</v>
      </c>
      <c r="J328" t="str">
        <f>TEXT(DAY(Tabla1[[#This Row],[Date]]),"dddd")</f>
        <v>martes</v>
      </c>
      <c r="K328">
        <f>MONTH(Tabla1[[#This Row],[Date]])</f>
        <v>7</v>
      </c>
    </row>
    <row r="329" spans="1:11" x14ac:dyDescent="0.25">
      <c r="A329" s="5">
        <v>45497</v>
      </c>
      <c r="B329" t="s">
        <v>10</v>
      </c>
      <c r="C329">
        <v>5</v>
      </c>
      <c r="E329" t="s">
        <v>11</v>
      </c>
      <c r="F329" t="s">
        <v>86</v>
      </c>
      <c r="G329" t="s">
        <v>70</v>
      </c>
      <c r="H329">
        <f>Tabla1[[#This Row],[Credit]]-Tabla1[[#This Row],[Debit]]</f>
        <v>-5</v>
      </c>
      <c r="I329" t="str">
        <f>TEXT(Tabla1[[#This Row],[Date]],"mmmm")</f>
        <v>julio</v>
      </c>
      <c r="J329" t="str">
        <f>TEXT(DAY(Tabla1[[#This Row],[Date]]),"dddd")</f>
        <v>martes</v>
      </c>
      <c r="K329">
        <f>MONTH(Tabla1[[#This Row],[Date]])</f>
        <v>7</v>
      </c>
    </row>
    <row r="330" spans="1:11" x14ac:dyDescent="0.25">
      <c r="A330" s="5">
        <v>45498</v>
      </c>
      <c r="B330" t="s">
        <v>10</v>
      </c>
      <c r="C330">
        <v>5</v>
      </c>
      <c r="E330" t="s">
        <v>11</v>
      </c>
      <c r="F330" t="s">
        <v>86</v>
      </c>
      <c r="G330" t="s">
        <v>70</v>
      </c>
      <c r="H330">
        <f>Tabla1[[#This Row],[Credit]]-Tabla1[[#This Row],[Debit]]</f>
        <v>-5</v>
      </c>
      <c r="I330" t="str">
        <f>TEXT(Tabla1[[#This Row],[Date]],"mmmm")</f>
        <v>julio</v>
      </c>
      <c r="J330" t="str">
        <f>TEXT(DAY(Tabla1[[#This Row],[Date]]),"dddd")</f>
        <v>miércoles</v>
      </c>
      <c r="K330">
        <f>MONTH(Tabla1[[#This Row],[Date]])</f>
        <v>7</v>
      </c>
    </row>
    <row r="331" spans="1:11" x14ac:dyDescent="0.25">
      <c r="A331" s="5">
        <v>45499</v>
      </c>
      <c r="B331" t="s">
        <v>10</v>
      </c>
      <c r="C331">
        <v>5</v>
      </c>
      <c r="E331" t="s">
        <v>11</v>
      </c>
      <c r="F331" t="s">
        <v>86</v>
      </c>
      <c r="G331" t="s">
        <v>70</v>
      </c>
      <c r="H331">
        <f>Tabla1[[#This Row],[Credit]]-Tabla1[[#This Row],[Debit]]</f>
        <v>-5</v>
      </c>
      <c r="I331" t="str">
        <f>TEXT(Tabla1[[#This Row],[Date]],"mmmm")</f>
        <v>julio</v>
      </c>
      <c r="J331" t="str">
        <f>TEXT(DAY(Tabla1[[#This Row],[Date]]),"dddd")</f>
        <v>jueves</v>
      </c>
      <c r="K331">
        <f>MONTH(Tabla1[[#This Row],[Date]])</f>
        <v>7</v>
      </c>
    </row>
    <row r="332" spans="1:11" x14ac:dyDescent="0.25">
      <c r="A332" s="5">
        <v>45500</v>
      </c>
      <c r="B332" t="s">
        <v>10</v>
      </c>
      <c r="C332">
        <v>5</v>
      </c>
      <c r="E332" t="s">
        <v>11</v>
      </c>
      <c r="F332" t="s">
        <v>86</v>
      </c>
      <c r="G332" t="s">
        <v>70</v>
      </c>
      <c r="H332">
        <f>Tabla1[[#This Row],[Credit]]-Tabla1[[#This Row],[Debit]]</f>
        <v>-5</v>
      </c>
      <c r="I332" t="str">
        <f>TEXT(Tabla1[[#This Row],[Date]],"mmmm")</f>
        <v>julio</v>
      </c>
      <c r="J332" t="str">
        <f>TEXT(DAY(Tabla1[[#This Row],[Date]]),"dddd")</f>
        <v>viernes</v>
      </c>
      <c r="K332">
        <f>MONTH(Tabla1[[#This Row],[Date]])</f>
        <v>7</v>
      </c>
    </row>
    <row r="333" spans="1:11" x14ac:dyDescent="0.25">
      <c r="A333" s="5">
        <v>45501</v>
      </c>
      <c r="B333" t="s">
        <v>10</v>
      </c>
      <c r="C333">
        <v>5</v>
      </c>
      <c r="E333" t="s">
        <v>11</v>
      </c>
      <c r="F333" t="s">
        <v>86</v>
      </c>
      <c r="G333" t="s">
        <v>70</v>
      </c>
      <c r="H333">
        <f>Tabla1[[#This Row],[Credit]]-Tabla1[[#This Row],[Debit]]</f>
        <v>-5</v>
      </c>
      <c r="I333" t="str">
        <f>TEXT(Tabla1[[#This Row],[Date]],"mmmm")</f>
        <v>julio</v>
      </c>
      <c r="J333" t="str">
        <f>TEXT(DAY(Tabla1[[#This Row],[Date]]),"dddd")</f>
        <v>sábado</v>
      </c>
      <c r="K333">
        <f>MONTH(Tabla1[[#This Row],[Date]])</f>
        <v>7</v>
      </c>
    </row>
    <row r="334" spans="1:11" x14ac:dyDescent="0.25">
      <c r="A334" s="5">
        <v>45501</v>
      </c>
      <c r="B334" t="s">
        <v>17</v>
      </c>
      <c r="C334">
        <v>193</v>
      </c>
      <c r="E334" t="s">
        <v>95</v>
      </c>
      <c r="F334" t="s">
        <v>87</v>
      </c>
      <c r="G334" t="s">
        <v>70</v>
      </c>
      <c r="H334">
        <f>Tabla1[[#This Row],[Credit]]-Tabla1[[#This Row],[Debit]]</f>
        <v>-193</v>
      </c>
      <c r="I334" t="str">
        <f>TEXT(Tabla1[[#This Row],[Date]],"mmmm")</f>
        <v>julio</v>
      </c>
      <c r="J334" t="str">
        <f>TEXT(DAY(Tabla1[[#This Row],[Date]]),"dddd")</f>
        <v>sábado</v>
      </c>
      <c r="K334">
        <f>MONTH(Tabla1[[#This Row],[Date]])</f>
        <v>7</v>
      </c>
    </row>
    <row r="335" spans="1:11" x14ac:dyDescent="0.25">
      <c r="A335" s="5">
        <v>45502</v>
      </c>
      <c r="B335" t="s">
        <v>41</v>
      </c>
      <c r="C335">
        <v>130.80000000000001</v>
      </c>
      <c r="E335" t="s">
        <v>97</v>
      </c>
      <c r="F335" t="s">
        <v>91</v>
      </c>
      <c r="G335" t="s">
        <v>70</v>
      </c>
      <c r="H335">
        <f>Tabla1[[#This Row],[Credit]]-Tabla1[[#This Row],[Debit]]</f>
        <v>-130.80000000000001</v>
      </c>
      <c r="I335" t="str">
        <f>TEXT(Tabla1[[#This Row],[Date]],"mmmm")</f>
        <v>julio</v>
      </c>
      <c r="J335" t="str">
        <f>TEXT(DAY(Tabla1[[#This Row],[Date]]),"dddd")</f>
        <v>domingo</v>
      </c>
      <c r="K335">
        <f>MONTH(Tabla1[[#This Row],[Date]])</f>
        <v>7</v>
      </c>
    </row>
    <row r="336" spans="1:11" x14ac:dyDescent="0.25">
      <c r="A336" s="5">
        <v>45502</v>
      </c>
      <c r="B336" t="s">
        <v>49</v>
      </c>
      <c r="C336">
        <v>181.39999999999998</v>
      </c>
      <c r="E336" t="s">
        <v>50</v>
      </c>
      <c r="F336" t="s">
        <v>91</v>
      </c>
      <c r="G336" t="s">
        <v>70</v>
      </c>
      <c r="H336">
        <f>Tabla1[[#This Row],[Credit]]-Tabla1[[#This Row],[Debit]]</f>
        <v>-181.39999999999998</v>
      </c>
      <c r="I336" t="str">
        <f>TEXT(Tabla1[[#This Row],[Date]],"mmmm")</f>
        <v>julio</v>
      </c>
      <c r="J336" t="str">
        <f>TEXT(DAY(Tabla1[[#This Row],[Date]]),"dddd")</f>
        <v>domingo</v>
      </c>
      <c r="K336">
        <f>MONTH(Tabla1[[#This Row],[Date]])</f>
        <v>7</v>
      </c>
    </row>
    <row r="337" spans="1:11" x14ac:dyDescent="0.25">
      <c r="A337" s="5">
        <v>45503</v>
      </c>
      <c r="B337" t="s">
        <v>24</v>
      </c>
      <c r="C337">
        <v>151.19999999999999</v>
      </c>
      <c r="E337" t="s">
        <v>97</v>
      </c>
      <c r="F337" t="s">
        <v>91</v>
      </c>
      <c r="G337" t="s">
        <v>70</v>
      </c>
      <c r="H337">
        <f>Tabla1[[#This Row],[Credit]]-Tabla1[[#This Row],[Debit]]</f>
        <v>-151.19999999999999</v>
      </c>
      <c r="I337" t="str">
        <f>TEXT(Tabla1[[#This Row],[Date]],"mmmm")</f>
        <v>julio</v>
      </c>
      <c r="J337" t="str">
        <f>TEXT(DAY(Tabla1[[#This Row],[Date]]),"dddd")</f>
        <v>lunes</v>
      </c>
      <c r="K337">
        <f>MONTH(Tabla1[[#This Row],[Date]])</f>
        <v>7</v>
      </c>
    </row>
    <row r="338" spans="1:11" x14ac:dyDescent="0.25">
      <c r="A338" s="5">
        <v>45503</v>
      </c>
      <c r="B338" t="s">
        <v>28</v>
      </c>
      <c r="C338">
        <v>29.300000000000004</v>
      </c>
      <c r="E338" t="s">
        <v>29</v>
      </c>
      <c r="F338" t="s">
        <v>89</v>
      </c>
      <c r="G338" t="s">
        <v>70</v>
      </c>
      <c r="H338">
        <f>Tabla1[[#This Row],[Credit]]-Tabla1[[#This Row],[Debit]]</f>
        <v>-29.300000000000004</v>
      </c>
      <c r="I338" t="str">
        <f>TEXT(Tabla1[[#This Row],[Date]],"mmmm")</f>
        <v>julio</v>
      </c>
      <c r="J338" t="str">
        <f>TEXT(DAY(Tabla1[[#This Row],[Date]]),"dddd")</f>
        <v>lunes</v>
      </c>
      <c r="K338">
        <f>MONTH(Tabla1[[#This Row],[Date]])</f>
        <v>7</v>
      </c>
    </row>
    <row r="339" spans="1:11" x14ac:dyDescent="0.25">
      <c r="A339" s="5">
        <v>45503</v>
      </c>
      <c r="B339" t="s">
        <v>47</v>
      </c>
      <c r="C339">
        <v>15</v>
      </c>
      <c r="E339" t="s">
        <v>27</v>
      </c>
      <c r="F339" t="s">
        <v>86</v>
      </c>
      <c r="G339" t="s">
        <v>70</v>
      </c>
      <c r="H339">
        <f>Tabla1[[#This Row],[Credit]]-Tabla1[[#This Row],[Debit]]</f>
        <v>-15</v>
      </c>
      <c r="I339" t="str">
        <f>TEXT(Tabla1[[#This Row],[Date]],"mmmm")</f>
        <v>julio</v>
      </c>
      <c r="J339" t="str">
        <f>TEXT(DAY(Tabla1[[#This Row],[Date]]),"dddd")</f>
        <v>lunes</v>
      </c>
      <c r="K339">
        <f>MONTH(Tabla1[[#This Row],[Date]])</f>
        <v>7</v>
      </c>
    </row>
    <row r="340" spans="1:11" x14ac:dyDescent="0.25">
      <c r="A340" s="5">
        <v>45504</v>
      </c>
      <c r="B340" t="s">
        <v>10</v>
      </c>
      <c r="C340">
        <v>5</v>
      </c>
      <c r="E340" t="s">
        <v>11</v>
      </c>
      <c r="F340" t="s">
        <v>86</v>
      </c>
      <c r="G340" t="s">
        <v>70</v>
      </c>
      <c r="H340">
        <f>Tabla1[[#This Row],[Credit]]-Tabla1[[#This Row],[Debit]]</f>
        <v>-5</v>
      </c>
      <c r="I340" t="str">
        <f>TEXT(Tabla1[[#This Row],[Date]],"mmmm")</f>
        <v>julio</v>
      </c>
      <c r="J340" t="str">
        <f>TEXT(DAY(Tabla1[[#This Row],[Date]]),"dddd")</f>
        <v>martes</v>
      </c>
      <c r="K340">
        <f>MONTH(Tabla1[[#This Row],[Date]])</f>
        <v>7</v>
      </c>
    </row>
    <row r="341" spans="1:11" x14ac:dyDescent="0.25">
      <c r="A341" s="5">
        <v>45506</v>
      </c>
      <c r="B341" t="s">
        <v>10</v>
      </c>
      <c r="C341">
        <v>5</v>
      </c>
      <c r="E341" t="s">
        <v>11</v>
      </c>
      <c r="F341" t="s">
        <v>86</v>
      </c>
      <c r="G341" t="s">
        <v>70</v>
      </c>
      <c r="H341">
        <f>Tabla1[[#This Row],[Credit]]-Tabla1[[#This Row],[Debit]]</f>
        <v>-5</v>
      </c>
      <c r="I341" t="str">
        <f>TEXT(Tabla1[[#This Row],[Date]],"mmmm")</f>
        <v>agosto</v>
      </c>
      <c r="J341" t="str">
        <f>TEXT(DAY(Tabla1[[#This Row],[Date]]),"dddd")</f>
        <v>lunes</v>
      </c>
      <c r="K341">
        <f>MONTH(Tabla1[[#This Row],[Date]])</f>
        <v>8</v>
      </c>
    </row>
    <row r="342" spans="1:11" x14ac:dyDescent="0.25">
      <c r="A342" s="5">
        <v>45506</v>
      </c>
      <c r="B342" t="s">
        <v>7</v>
      </c>
      <c r="D342">
        <v>5000</v>
      </c>
      <c r="E342" t="s">
        <v>8</v>
      </c>
      <c r="F342" t="s">
        <v>90</v>
      </c>
      <c r="G342" t="s">
        <v>93</v>
      </c>
      <c r="H342">
        <f>Tabla1[[#This Row],[Credit]]-Tabla1[[#This Row],[Debit]]</f>
        <v>5000</v>
      </c>
      <c r="I342" t="str">
        <f>TEXT(Tabla1[[#This Row],[Date]],"mmmm")</f>
        <v>agosto</v>
      </c>
      <c r="J342" t="str">
        <f>TEXT(DAY(Tabla1[[#This Row],[Date]]),"dddd")</f>
        <v>lunes</v>
      </c>
      <c r="K342">
        <f>MONTH(Tabla1[[#This Row],[Date]])</f>
        <v>8</v>
      </c>
    </row>
    <row r="343" spans="1:11" x14ac:dyDescent="0.25">
      <c r="A343" s="5">
        <v>45507</v>
      </c>
      <c r="B343" t="s">
        <v>10</v>
      </c>
      <c r="C343">
        <v>5</v>
      </c>
      <c r="E343" t="s">
        <v>11</v>
      </c>
      <c r="F343" t="s">
        <v>86</v>
      </c>
      <c r="G343" t="s">
        <v>70</v>
      </c>
      <c r="H343">
        <f>Tabla1[[#This Row],[Credit]]-Tabla1[[#This Row],[Debit]]</f>
        <v>-5</v>
      </c>
      <c r="I343" t="str">
        <f>TEXT(Tabla1[[#This Row],[Date]],"mmmm")</f>
        <v>agosto</v>
      </c>
      <c r="J343" t="str">
        <f>TEXT(DAY(Tabla1[[#This Row],[Date]]),"dddd")</f>
        <v>martes</v>
      </c>
      <c r="K343">
        <f>MONTH(Tabla1[[#This Row],[Date]])</f>
        <v>8</v>
      </c>
    </row>
    <row r="344" spans="1:11" x14ac:dyDescent="0.25">
      <c r="A344" s="5">
        <v>45509</v>
      </c>
      <c r="B344" t="s">
        <v>13</v>
      </c>
      <c r="C344">
        <v>900</v>
      </c>
      <c r="E344" t="s">
        <v>94</v>
      </c>
      <c r="F344" t="s">
        <v>87</v>
      </c>
      <c r="G344" t="s">
        <v>70</v>
      </c>
      <c r="H344">
        <f>Tabla1[[#This Row],[Credit]]-Tabla1[[#This Row],[Debit]]</f>
        <v>-900</v>
      </c>
      <c r="I344" t="str">
        <f>TEXT(Tabla1[[#This Row],[Date]],"mmmm")</f>
        <v>agosto</v>
      </c>
      <c r="J344" t="str">
        <f>TEXT(DAY(Tabla1[[#This Row],[Date]]),"dddd")</f>
        <v>jueves</v>
      </c>
      <c r="K344">
        <f>MONTH(Tabla1[[#This Row],[Date]])</f>
        <v>8</v>
      </c>
    </row>
    <row r="345" spans="1:11" x14ac:dyDescent="0.25">
      <c r="A345" s="5">
        <v>45509</v>
      </c>
      <c r="B345" t="s">
        <v>15</v>
      </c>
      <c r="C345">
        <v>150</v>
      </c>
      <c r="E345" t="s">
        <v>98</v>
      </c>
      <c r="F345" t="s">
        <v>89</v>
      </c>
      <c r="G345" t="s">
        <v>70</v>
      </c>
      <c r="H345">
        <f>Tabla1[[#This Row],[Credit]]-Tabla1[[#This Row],[Debit]]</f>
        <v>-150</v>
      </c>
      <c r="I345" t="str">
        <f>TEXT(Tabla1[[#This Row],[Date]],"mmmm")</f>
        <v>agosto</v>
      </c>
      <c r="J345" t="str">
        <f>TEXT(DAY(Tabla1[[#This Row],[Date]]),"dddd")</f>
        <v>jueves</v>
      </c>
      <c r="K345">
        <f>MONTH(Tabla1[[#This Row],[Date]])</f>
        <v>8</v>
      </c>
    </row>
    <row r="346" spans="1:11" x14ac:dyDescent="0.25">
      <c r="A346" s="5">
        <v>45509</v>
      </c>
      <c r="B346" t="s">
        <v>10</v>
      </c>
      <c r="C346">
        <v>5</v>
      </c>
      <c r="E346" t="s">
        <v>11</v>
      </c>
      <c r="F346" t="s">
        <v>86</v>
      </c>
      <c r="G346" t="s">
        <v>70</v>
      </c>
      <c r="H346">
        <f>Tabla1[[#This Row],[Credit]]-Tabla1[[#This Row],[Debit]]</f>
        <v>-5</v>
      </c>
      <c r="I346" t="str">
        <f>TEXT(Tabla1[[#This Row],[Date]],"mmmm")</f>
        <v>agosto</v>
      </c>
      <c r="J346" t="str">
        <f>TEXT(DAY(Tabla1[[#This Row],[Date]]),"dddd")</f>
        <v>jueves</v>
      </c>
      <c r="K346">
        <f>MONTH(Tabla1[[#This Row],[Date]])</f>
        <v>8</v>
      </c>
    </row>
    <row r="347" spans="1:11" x14ac:dyDescent="0.25">
      <c r="A347" s="5">
        <v>45509</v>
      </c>
      <c r="B347" t="s">
        <v>10</v>
      </c>
      <c r="C347">
        <v>5</v>
      </c>
      <c r="E347" t="s">
        <v>11</v>
      </c>
      <c r="F347" t="s">
        <v>86</v>
      </c>
      <c r="G347" t="s">
        <v>70</v>
      </c>
      <c r="H347">
        <f>Tabla1[[#This Row],[Credit]]-Tabla1[[#This Row],[Debit]]</f>
        <v>-5</v>
      </c>
      <c r="I347" t="str">
        <f>TEXT(Tabla1[[#This Row],[Date]],"mmmm")</f>
        <v>agosto</v>
      </c>
      <c r="J347" t="str">
        <f>TEXT(DAY(Tabla1[[#This Row],[Date]]),"dddd")</f>
        <v>jueves</v>
      </c>
      <c r="K347">
        <f>MONTH(Tabla1[[#This Row],[Date]])</f>
        <v>8</v>
      </c>
    </row>
    <row r="348" spans="1:11" x14ac:dyDescent="0.25">
      <c r="A348" s="5">
        <v>45510</v>
      </c>
      <c r="B348" t="s">
        <v>10</v>
      </c>
      <c r="C348">
        <v>5</v>
      </c>
      <c r="E348" t="s">
        <v>11</v>
      </c>
      <c r="F348" t="s">
        <v>86</v>
      </c>
      <c r="G348" t="s">
        <v>70</v>
      </c>
      <c r="H348">
        <f>Tabla1[[#This Row],[Credit]]-Tabla1[[#This Row],[Debit]]</f>
        <v>-5</v>
      </c>
      <c r="I348" t="str">
        <f>TEXT(Tabla1[[#This Row],[Date]],"mmmm")</f>
        <v>agosto</v>
      </c>
      <c r="J348" t="str">
        <f>TEXT(DAY(Tabla1[[#This Row],[Date]]),"dddd")</f>
        <v>viernes</v>
      </c>
      <c r="K348">
        <f>MONTH(Tabla1[[#This Row],[Date]])</f>
        <v>8</v>
      </c>
    </row>
    <row r="349" spans="1:11" x14ac:dyDescent="0.25">
      <c r="A349" s="5">
        <v>45511</v>
      </c>
      <c r="B349" t="s">
        <v>10</v>
      </c>
      <c r="C349">
        <v>5</v>
      </c>
      <c r="E349" t="s">
        <v>11</v>
      </c>
      <c r="F349" t="s">
        <v>86</v>
      </c>
      <c r="G349" t="s">
        <v>70</v>
      </c>
      <c r="H349">
        <f>Tabla1[[#This Row],[Credit]]-Tabla1[[#This Row],[Debit]]</f>
        <v>-5</v>
      </c>
      <c r="I349" t="str">
        <f>TEXT(Tabla1[[#This Row],[Date]],"mmmm")</f>
        <v>agosto</v>
      </c>
      <c r="J349" t="str">
        <f>TEXT(DAY(Tabla1[[#This Row],[Date]]),"dddd")</f>
        <v>sábado</v>
      </c>
      <c r="K349">
        <f>MONTH(Tabla1[[#This Row],[Date]])</f>
        <v>8</v>
      </c>
    </row>
    <row r="350" spans="1:11" x14ac:dyDescent="0.25">
      <c r="A350" s="5">
        <v>45511</v>
      </c>
      <c r="B350" t="s">
        <v>17</v>
      </c>
      <c r="C350">
        <v>137</v>
      </c>
      <c r="E350" t="s">
        <v>95</v>
      </c>
      <c r="F350" t="s">
        <v>87</v>
      </c>
      <c r="G350" t="s">
        <v>70</v>
      </c>
      <c r="H350">
        <f>Tabla1[[#This Row],[Credit]]-Tabla1[[#This Row],[Debit]]</f>
        <v>-137</v>
      </c>
      <c r="I350" t="str">
        <f>TEXT(Tabla1[[#This Row],[Date]],"mmmm")</f>
        <v>agosto</v>
      </c>
      <c r="J350" t="str">
        <f>TEXT(DAY(Tabla1[[#This Row],[Date]]),"dddd")</f>
        <v>sábado</v>
      </c>
      <c r="K350">
        <f>MONTH(Tabla1[[#This Row],[Date]])</f>
        <v>8</v>
      </c>
    </row>
    <row r="351" spans="1:11" x14ac:dyDescent="0.25">
      <c r="A351" s="5">
        <v>45514</v>
      </c>
      <c r="B351" t="s">
        <v>19</v>
      </c>
      <c r="C351">
        <v>57</v>
      </c>
      <c r="E351" t="s">
        <v>20</v>
      </c>
      <c r="F351" t="s">
        <v>87</v>
      </c>
      <c r="G351" t="s">
        <v>70</v>
      </c>
      <c r="H351">
        <f>Tabla1[[#This Row],[Credit]]-Tabla1[[#This Row],[Debit]]</f>
        <v>-57</v>
      </c>
      <c r="I351" t="str">
        <f>TEXT(Tabla1[[#This Row],[Date]],"mmmm")</f>
        <v>agosto</v>
      </c>
      <c r="J351" t="str">
        <f>TEXT(DAY(Tabla1[[#This Row],[Date]]),"dddd")</f>
        <v>martes</v>
      </c>
      <c r="K351">
        <f>MONTH(Tabla1[[#This Row],[Date]])</f>
        <v>8</v>
      </c>
    </row>
    <row r="352" spans="1:11" x14ac:dyDescent="0.25">
      <c r="A352" s="5">
        <v>45514</v>
      </c>
      <c r="B352" t="s">
        <v>10</v>
      </c>
      <c r="C352">
        <v>5</v>
      </c>
      <c r="E352" t="s">
        <v>11</v>
      </c>
      <c r="F352" t="s">
        <v>86</v>
      </c>
      <c r="G352" t="s">
        <v>70</v>
      </c>
      <c r="H352">
        <f>Tabla1[[#This Row],[Credit]]-Tabla1[[#This Row],[Debit]]</f>
        <v>-5</v>
      </c>
      <c r="I352" t="str">
        <f>TEXT(Tabla1[[#This Row],[Date]],"mmmm")</f>
        <v>agosto</v>
      </c>
      <c r="J352" t="str">
        <f>TEXT(DAY(Tabla1[[#This Row],[Date]]),"dddd")</f>
        <v>martes</v>
      </c>
      <c r="K352">
        <f>MONTH(Tabla1[[#This Row],[Date]])</f>
        <v>8</v>
      </c>
    </row>
    <row r="353" spans="1:11" x14ac:dyDescent="0.25">
      <c r="A353" s="5">
        <v>45515</v>
      </c>
      <c r="B353" t="s">
        <v>10</v>
      </c>
      <c r="C353">
        <v>5</v>
      </c>
      <c r="E353" t="s">
        <v>11</v>
      </c>
      <c r="F353" t="s">
        <v>86</v>
      </c>
      <c r="G353" t="s">
        <v>70</v>
      </c>
      <c r="H353">
        <f>Tabla1[[#This Row],[Credit]]-Tabla1[[#This Row],[Debit]]</f>
        <v>-5</v>
      </c>
      <c r="I353" t="str">
        <f>TEXT(Tabla1[[#This Row],[Date]],"mmmm")</f>
        <v>agosto</v>
      </c>
      <c r="J353" t="str">
        <f>TEXT(DAY(Tabla1[[#This Row],[Date]]),"dddd")</f>
        <v>miércoles</v>
      </c>
      <c r="K353">
        <f>MONTH(Tabla1[[#This Row],[Date]])</f>
        <v>8</v>
      </c>
    </row>
    <row r="354" spans="1:11" x14ac:dyDescent="0.25">
      <c r="A354" s="5">
        <v>45516</v>
      </c>
      <c r="B354" t="s">
        <v>21</v>
      </c>
      <c r="C354">
        <v>84.199999999999989</v>
      </c>
      <c r="E354" t="s">
        <v>96</v>
      </c>
      <c r="F354" t="s">
        <v>89</v>
      </c>
      <c r="G354" t="s">
        <v>70</v>
      </c>
      <c r="H354">
        <f>Tabla1[[#This Row],[Credit]]-Tabla1[[#This Row],[Debit]]</f>
        <v>-84.199999999999989</v>
      </c>
      <c r="I354" t="str">
        <f>TEXT(Tabla1[[#This Row],[Date]],"mmmm")</f>
        <v>agosto</v>
      </c>
      <c r="J354" t="str">
        <f>TEXT(DAY(Tabla1[[#This Row],[Date]]),"dddd")</f>
        <v>jueves</v>
      </c>
      <c r="K354">
        <f>MONTH(Tabla1[[#This Row],[Date]])</f>
        <v>8</v>
      </c>
    </row>
    <row r="355" spans="1:11" x14ac:dyDescent="0.25">
      <c r="A355" s="5">
        <v>45516</v>
      </c>
      <c r="B355" t="s">
        <v>10</v>
      </c>
      <c r="C355">
        <v>5</v>
      </c>
      <c r="E355" t="s">
        <v>11</v>
      </c>
      <c r="F355" t="s">
        <v>86</v>
      </c>
      <c r="G355" t="s">
        <v>70</v>
      </c>
      <c r="H355">
        <f>Tabla1[[#This Row],[Credit]]-Tabla1[[#This Row],[Debit]]</f>
        <v>-5</v>
      </c>
      <c r="I355" t="str">
        <f>TEXT(Tabla1[[#This Row],[Date]],"mmmm")</f>
        <v>agosto</v>
      </c>
      <c r="J355" t="str">
        <f>TEXT(DAY(Tabla1[[#This Row],[Date]]),"dddd")</f>
        <v>jueves</v>
      </c>
      <c r="K355">
        <f>MONTH(Tabla1[[#This Row],[Date]])</f>
        <v>8</v>
      </c>
    </row>
    <row r="356" spans="1:11" x14ac:dyDescent="0.25">
      <c r="A356" s="5">
        <v>45517</v>
      </c>
      <c r="B356" t="s">
        <v>10</v>
      </c>
      <c r="C356">
        <v>5</v>
      </c>
      <c r="E356" t="s">
        <v>11</v>
      </c>
      <c r="F356" t="s">
        <v>86</v>
      </c>
      <c r="G356" t="s">
        <v>70</v>
      </c>
      <c r="H356">
        <f>Tabla1[[#This Row],[Credit]]-Tabla1[[#This Row],[Debit]]</f>
        <v>-5</v>
      </c>
      <c r="I356" t="str">
        <f>TEXT(Tabla1[[#This Row],[Date]],"mmmm")</f>
        <v>agosto</v>
      </c>
      <c r="J356" t="str">
        <f>TEXT(DAY(Tabla1[[#This Row],[Date]]),"dddd")</f>
        <v>viernes</v>
      </c>
      <c r="K356">
        <f>MONTH(Tabla1[[#This Row],[Date]])</f>
        <v>8</v>
      </c>
    </row>
    <row r="357" spans="1:11" x14ac:dyDescent="0.25">
      <c r="A357" s="5">
        <v>45518</v>
      </c>
      <c r="B357" t="s">
        <v>17</v>
      </c>
      <c r="C357">
        <v>142.1</v>
      </c>
      <c r="E357" t="s">
        <v>95</v>
      </c>
      <c r="F357" t="s">
        <v>87</v>
      </c>
      <c r="G357" t="s">
        <v>70</v>
      </c>
      <c r="H357">
        <f>Tabla1[[#This Row],[Credit]]-Tabla1[[#This Row],[Debit]]</f>
        <v>-142.1</v>
      </c>
      <c r="I357" t="str">
        <f>TEXT(Tabla1[[#This Row],[Date]],"mmmm")</f>
        <v>agosto</v>
      </c>
      <c r="J357" t="str">
        <f>TEXT(DAY(Tabla1[[#This Row],[Date]]),"dddd")</f>
        <v>sábado</v>
      </c>
      <c r="K357">
        <f>MONTH(Tabla1[[#This Row],[Date]])</f>
        <v>8</v>
      </c>
    </row>
    <row r="358" spans="1:11" x14ac:dyDescent="0.25">
      <c r="A358" s="5">
        <v>45518</v>
      </c>
      <c r="B358" t="s">
        <v>10</v>
      </c>
      <c r="C358">
        <v>5</v>
      </c>
      <c r="E358" t="s">
        <v>11</v>
      </c>
      <c r="F358" t="s">
        <v>86</v>
      </c>
      <c r="G358" t="s">
        <v>70</v>
      </c>
      <c r="H358">
        <f>Tabla1[[#This Row],[Credit]]-Tabla1[[#This Row],[Debit]]</f>
        <v>-5</v>
      </c>
      <c r="I358" t="str">
        <f>TEXT(Tabla1[[#This Row],[Date]],"mmmm")</f>
        <v>agosto</v>
      </c>
      <c r="J358" t="str">
        <f>TEXT(DAY(Tabla1[[#This Row],[Date]]),"dddd")</f>
        <v>sábado</v>
      </c>
      <c r="K358">
        <f>MONTH(Tabla1[[#This Row],[Date]])</f>
        <v>8</v>
      </c>
    </row>
    <row r="359" spans="1:11" x14ac:dyDescent="0.25">
      <c r="A359" s="5">
        <v>45519</v>
      </c>
      <c r="B359" t="s">
        <v>10</v>
      </c>
      <c r="C359">
        <v>5</v>
      </c>
      <c r="E359" t="s">
        <v>11</v>
      </c>
      <c r="F359" t="s">
        <v>86</v>
      </c>
      <c r="G359" t="s">
        <v>70</v>
      </c>
      <c r="H359">
        <f>Tabla1[[#This Row],[Credit]]-Tabla1[[#This Row],[Debit]]</f>
        <v>-5</v>
      </c>
      <c r="I359" t="str">
        <f>TEXT(Tabla1[[#This Row],[Date]],"mmmm")</f>
        <v>agosto</v>
      </c>
      <c r="J359" t="str">
        <f>TEXT(DAY(Tabla1[[#This Row],[Date]]),"dddd")</f>
        <v>domingo</v>
      </c>
      <c r="K359">
        <f>MONTH(Tabla1[[#This Row],[Date]])</f>
        <v>8</v>
      </c>
    </row>
    <row r="360" spans="1:11" x14ac:dyDescent="0.25">
      <c r="A360" s="5">
        <v>45519</v>
      </c>
      <c r="B360" t="s">
        <v>22</v>
      </c>
      <c r="C360">
        <v>46.8</v>
      </c>
      <c r="E360" t="s">
        <v>23</v>
      </c>
      <c r="F360" t="s">
        <v>91</v>
      </c>
      <c r="G360" t="s">
        <v>70</v>
      </c>
      <c r="H360">
        <f>Tabla1[[#This Row],[Credit]]-Tabla1[[#This Row],[Debit]]</f>
        <v>-46.8</v>
      </c>
      <c r="I360" t="str">
        <f>TEXT(Tabla1[[#This Row],[Date]],"mmmm")</f>
        <v>agosto</v>
      </c>
      <c r="J360" t="str">
        <f>TEXT(DAY(Tabla1[[#This Row],[Date]]),"dddd")</f>
        <v>domingo</v>
      </c>
      <c r="K360">
        <f>MONTH(Tabla1[[#This Row],[Date]])</f>
        <v>8</v>
      </c>
    </row>
    <row r="361" spans="1:11" x14ac:dyDescent="0.25">
      <c r="A361" s="5">
        <v>45519</v>
      </c>
      <c r="B361" t="s">
        <v>24</v>
      </c>
      <c r="C361">
        <v>104.70000000000002</v>
      </c>
      <c r="E361" t="s">
        <v>97</v>
      </c>
      <c r="F361" t="s">
        <v>91</v>
      </c>
      <c r="G361" t="s">
        <v>70</v>
      </c>
      <c r="H361">
        <f>Tabla1[[#This Row],[Credit]]-Tabla1[[#This Row],[Debit]]</f>
        <v>-104.70000000000002</v>
      </c>
      <c r="I361" t="str">
        <f>TEXT(Tabla1[[#This Row],[Date]],"mmmm")</f>
        <v>agosto</v>
      </c>
      <c r="J361" t="str">
        <f>TEXT(DAY(Tabla1[[#This Row],[Date]]),"dddd")</f>
        <v>domingo</v>
      </c>
      <c r="K361">
        <f>MONTH(Tabla1[[#This Row],[Date]])</f>
        <v>8</v>
      </c>
    </row>
    <row r="362" spans="1:11" x14ac:dyDescent="0.25">
      <c r="A362" s="5">
        <v>45519</v>
      </c>
      <c r="B362" t="s">
        <v>26</v>
      </c>
      <c r="C362">
        <v>59.1</v>
      </c>
      <c r="E362" t="s">
        <v>27</v>
      </c>
      <c r="F362" t="s">
        <v>86</v>
      </c>
      <c r="G362" t="s">
        <v>70</v>
      </c>
      <c r="H362">
        <f>Tabla1[[#This Row],[Credit]]-Tabla1[[#This Row],[Debit]]</f>
        <v>-59.1</v>
      </c>
      <c r="I362" t="str">
        <f>TEXT(Tabla1[[#This Row],[Date]],"mmmm")</f>
        <v>agosto</v>
      </c>
      <c r="J362" t="str">
        <f>TEXT(DAY(Tabla1[[#This Row],[Date]]),"dddd")</f>
        <v>domingo</v>
      </c>
      <c r="K362">
        <f>MONTH(Tabla1[[#This Row],[Date]])</f>
        <v>8</v>
      </c>
    </row>
    <row r="363" spans="1:11" x14ac:dyDescent="0.25">
      <c r="A363" s="5">
        <v>45520</v>
      </c>
      <c r="B363" t="s">
        <v>28</v>
      </c>
      <c r="C363">
        <v>35.1</v>
      </c>
      <c r="E363" t="s">
        <v>29</v>
      </c>
      <c r="F363" t="s">
        <v>89</v>
      </c>
      <c r="G363" t="s">
        <v>70</v>
      </c>
      <c r="H363">
        <f>Tabla1[[#This Row],[Credit]]-Tabla1[[#This Row],[Debit]]</f>
        <v>-35.1</v>
      </c>
      <c r="I363" t="str">
        <f>TEXT(Tabla1[[#This Row],[Date]],"mmmm")</f>
        <v>agosto</v>
      </c>
      <c r="J363" t="str">
        <f>TEXT(DAY(Tabla1[[#This Row],[Date]]),"dddd")</f>
        <v>lunes</v>
      </c>
      <c r="K363">
        <f>MONTH(Tabla1[[#This Row],[Date]])</f>
        <v>8</v>
      </c>
    </row>
    <row r="364" spans="1:11" x14ac:dyDescent="0.25">
      <c r="A364" s="5">
        <v>45521</v>
      </c>
      <c r="B364" t="s">
        <v>30</v>
      </c>
      <c r="D364">
        <v>800</v>
      </c>
      <c r="E364" t="s">
        <v>31</v>
      </c>
      <c r="F364" t="s">
        <v>92</v>
      </c>
      <c r="G364" t="s">
        <v>93</v>
      </c>
      <c r="H364">
        <f>Tabla1[[#This Row],[Credit]]-Tabla1[[#This Row],[Debit]]</f>
        <v>800</v>
      </c>
      <c r="I364" t="str">
        <f>TEXT(Tabla1[[#This Row],[Date]],"mmmm")</f>
        <v>agosto</v>
      </c>
      <c r="J364" t="str">
        <f>TEXT(DAY(Tabla1[[#This Row],[Date]]),"dddd")</f>
        <v>martes</v>
      </c>
      <c r="K364">
        <f>MONTH(Tabla1[[#This Row],[Date]])</f>
        <v>8</v>
      </c>
    </row>
    <row r="365" spans="1:11" x14ac:dyDescent="0.25">
      <c r="A365" s="5">
        <v>45521</v>
      </c>
      <c r="B365" t="s">
        <v>10</v>
      </c>
      <c r="C365">
        <v>5</v>
      </c>
      <c r="E365" t="s">
        <v>11</v>
      </c>
      <c r="F365" t="s">
        <v>86</v>
      </c>
      <c r="G365" t="s">
        <v>70</v>
      </c>
      <c r="H365">
        <f>Tabla1[[#This Row],[Credit]]-Tabla1[[#This Row],[Debit]]</f>
        <v>-5</v>
      </c>
      <c r="I365" t="str">
        <f>TEXT(Tabla1[[#This Row],[Date]],"mmmm")</f>
        <v>agosto</v>
      </c>
      <c r="J365" t="str">
        <f>TEXT(DAY(Tabla1[[#This Row],[Date]]),"dddd")</f>
        <v>martes</v>
      </c>
      <c r="K365">
        <f>MONTH(Tabla1[[#This Row],[Date]])</f>
        <v>8</v>
      </c>
    </row>
    <row r="366" spans="1:11" x14ac:dyDescent="0.25">
      <c r="A366" s="5">
        <v>45522</v>
      </c>
      <c r="B366" t="s">
        <v>10</v>
      </c>
      <c r="C366">
        <v>5</v>
      </c>
      <c r="E366" t="s">
        <v>11</v>
      </c>
      <c r="F366" t="s">
        <v>86</v>
      </c>
      <c r="G366" t="s">
        <v>70</v>
      </c>
      <c r="H366">
        <f>Tabla1[[#This Row],[Credit]]-Tabla1[[#This Row],[Debit]]</f>
        <v>-5</v>
      </c>
      <c r="I366" t="str">
        <f>TEXT(Tabla1[[#This Row],[Date]],"mmmm")</f>
        <v>agosto</v>
      </c>
      <c r="J366" t="str">
        <f>TEXT(DAY(Tabla1[[#This Row],[Date]]),"dddd")</f>
        <v>miércoles</v>
      </c>
      <c r="K366">
        <f>MONTH(Tabla1[[#This Row],[Date]])</f>
        <v>8</v>
      </c>
    </row>
    <row r="367" spans="1:11" x14ac:dyDescent="0.25">
      <c r="A367" s="5">
        <v>45522</v>
      </c>
      <c r="B367" t="s">
        <v>33</v>
      </c>
      <c r="C367">
        <v>40</v>
      </c>
      <c r="E367" t="s">
        <v>33</v>
      </c>
      <c r="F367" t="s">
        <v>87</v>
      </c>
      <c r="G367" t="s">
        <v>70</v>
      </c>
      <c r="H367">
        <f>Tabla1[[#This Row],[Credit]]-Tabla1[[#This Row],[Debit]]</f>
        <v>-40</v>
      </c>
      <c r="I367" t="str">
        <f>TEXT(Tabla1[[#This Row],[Date]],"mmmm")</f>
        <v>agosto</v>
      </c>
      <c r="J367" t="str">
        <f>TEXT(DAY(Tabla1[[#This Row],[Date]]),"dddd")</f>
        <v>miércoles</v>
      </c>
      <c r="K367">
        <f>MONTH(Tabla1[[#This Row],[Date]])</f>
        <v>8</v>
      </c>
    </row>
    <row r="368" spans="1:11" x14ac:dyDescent="0.25">
      <c r="A368" s="5">
        <v>45523</v>
      </c>
      <c r="B368" t="s">
        <v>34</v>
      </c>
      <c r="C368">
        <v>52.1</v>
      </c>
      <c r="E368" t="s">
        <v>35</v>
      </c>
      <c r="F368" t="s">
        <v>91</v>
      </c>
      <c r="G368" t="s">
        <v>70</v>
      </c>
      <c r="H368">
        <f>Tabla1[[#This Row],[Credit]]-Tabla1[[#This Row],[Debit]]</f>
        <v>-52.1</v>
      </c>
      <c r="I368" t="str">
        <f>TEXT(Tabla1[[#This Row],[Date]],"mmmm")</f>
        <v>agosto</v>
      </c>
      <c r="J368" t="str">
        <f>TEXT(DAY(Tabla1[[#This Row],[Date]]),"dddd")</f>
        <v>jueves</v>
      </c>
      <c r="K368">
        <f>MONTH(Tabla1[[#This Row],[Date]])</f>
        <v>8</v>
      </c>
    </row>
    <row r="369" spans="1:11" x14ac:dyDescent="0.25">
      <c r="A369" s="5">
        <v>45523</v>
      </c>
      <c r="B369" t="s">
        <v>36</v>
      </c>
      <c r="C369">
        <v>35</v>
      </c>
      <c r="E369" t="s">
        <v>23</v>
      </c>
      <c r="F369" t="s">
        <v>91</v>
      </c>
      <c r="G369" t="s">
        <v>70</v>
      </c>
      <c r="H369">
        <f>Tabla1[[#This Row],[Credit]]-Tabla1[[#This Row],[Debit]]</f>
        <v>-35</v>
      </c>
      <c r="I369" t="str">
        <f>TEXT(Tabla1[[#This Row],[Date]],"mmmm")</f>
        <v>agosto</v>
      </c>
      <c r="J369" t="str">
        <f>TEXT(DAY(Tabla1[[#This Row],[Date]]),"dddd")</f>
        <v>jueves</v>
      </c>
      <c r="K369">
        <f>MONTH(Tabla1[[#This Row],[Date]])</f>
        <v>8</v>
      </c>
    </row>
    <row r="370" spans="1:11" x14ac:dyDescent="0.25">
      <c r="A370" s="5">
        <v>45523</v>
      </c>
      <c r="B370" t="s">
        <v>10</v>
      </c>
      <c r="C370">
        <v>5</v>
      </c>
      <c r="E370" t="s">
        <v>11</v>
      </c>
      <c r="F370" t="s">
        <v>86</v>
      </c>
      <c r="G370" t="s">
        <v>70</v>
      </c>
      <c r="H370">
        <f>Tabla1[[#This Row],[Credit]]-Tabla1[[#This Row],[Debit]]</f>
        <v>-5</v>
      </c>
      <c r="I370" t="str">
        <f>TEXT(Tabla1[[#This Row],[Date]],"mmmm")</f>
        <v>agosto</v>
      </c>
      <c r="J370" t="str">
        <f>TEXT(DAY(Tabla1[[#This Row],[Date]]),"dddd")</f>
        <v>jueves</v>
      </c>
      <c r="K370">
        <f>MONTH(Tabla1[[#This Row],[Date]])</f>
        <v>8</v>
      </c>
    </row>
    <row r="371" spans="1:11" x14ac:dyDescent="0.25">
      <c r="A371" s="5">
        <v>45524</v>
      </c>
      <c r="B371" t="s">
        <v>10</v>
      </c>
      <c r="C371">
        <v>5</v>
      </c>
      <c r="E371" t="s">
        <v>11</v>
      </c>
      <c r="F371" t="s">
        <v>86</v>
      </c>
      <c r="G371" t="s">
        <v>70</v>
      </c>
      <c r="H371">
        <f>Tabla1[[#This Row],[Credit]]-Tabla1[[#This Row],[Debit]]</f>
        <v>-5</v>
      </c>
      <c r="I371" t="str">
        <f>TEXT(Tabla1[[#This Row],[Date]],"mmmm")</f>
        <v>agosto</v>
      </c>
      <c r="J371" t="str">
        <f>TEXT(DAY(Tabla1[[#This Row],[Date]]),"dddd")</f>
        <v>viernes</v>
      </c>
      <c r="K371">
        <f>MONTH(Tabla1[[#This Row],[Date]])</f>
        <v>8</v>
      </c>
    </row>
    <row r="372" spans="1:11" x14ac:dyDescent="0.25">
      <c r="A372" s="5">
        <v>45525</v>
      </c>
      <c r="B372" t="s">
        <v>10</v>
      </c>
      <c r="C372">
        <v>5</v>
      </c>
      <c r="E372" t="s">
        <v>11</v>
      </c>
      <c r="F372" t="s">
        <v>86</v>
      </c>
      <c r="G372" t="s">
        <v>70</v>
      </c>
      <c r="H372">
        <f>Tabla1[[#This Row],[Credit]]-Tabla1[[#This Row],[Debit]]</f>
        <v>-5</v>
      </c>
      <c r="I372" t="str">
        <f>TEXT(Tabla1[[#This Row],[Date]],"mmmm")</f>
        <v>agosto</v>
      </c>
      <c r="J372" t="str">
        <f>TEXT(DAY(Tabla1[[#This Row],[Date]]),"dddd")</f>
        <v>sábado</v>
      </c>
      <c r="K372">
        <f>MONTH(Tabla1[[#This Row],[Date]])</f>
        <v>8</v>
      </c>
    </row>
    <row r="373" spans="1:11" x14ac:dyDescent="0.25">
      <c r="A373" s="5">
        <v>45525</v>
      </c>
      <c r="B373" t="s">
        <v>17</v>
      </c>
      <c r="C373">
        <v>177</v>
      </c>
      <c r="E373" t="s">
        <v>95</v>
      </c>
      <c r="F373" t="s">
        <v>87</v>
      </c>
      <c r="G373" t="s">
        <v>70</v>
      </c>
      <c r="H373">
        <f>Tabla1[[#This Row],[Credit]]-Tabla1[[#This Row],[Debit]]</f>
        <v>-177</v>
      </c>
      <c r="I373" t="str">
        <f>TEXT(Tabla1[[#This Row],[Date]],"mmmm")</f>
        <v>agosto</v>
      </c>
      <c r="J373" t="str">
        <f>TEXT(DAY(Tabla1[[#This Row],[Date]]),"dddd")</f>
        <v>sábado</v>
      </c>
      <c r="K373">
        <f>MONTH(Tabla1[[#This Row],[Date]])</f>
        <v>8</v>
      </c>
    </row>
    <row r="374" spans="1:11" x14ac:dyDescent="0.25">
      <c r="A374" s="5">
        <v>45526</v>
      </c>
      <c r="B374" t="s">
        <v>37</v>
      </c>
      <c r="C374">
        <v>44.2</v>
      </c>
      <c r="E374" t="s">
        <v>27</v>
      </c>
      <c r="F374" t="s">
        <v>86</v>
      </c>
      <c r="G374" t="s">
        <v>70</v>
      </c>
      <c r="H374">
        <f>Tabla1[[#This Row],[Credit]]-Tabla1[[#This Row],[Debit]]</f>
        <v>-44.2</v>
      </c>
      <c r="I374" t="str">
        <f>TEXT(Tabla1[[#This Row],[Date]],"mmmm")</f>
        <v>agosto</v>
      </c>
      <c r="J374" t="str">
        <f>TEXT(DAY(Tabla1[[#This Row],[Date]]),"dddd")</f>
        <v>domingo</v>
      </c>
      <c r="K374">
        <f>MONTH(Tabla1[[#This Row],[Date]])</f>
        <v>8</v>
      </c>
    </row>
    <row r="375" spans="1:11" x14ac:dyDescent="0.25">
      <c r="A375" s="5">
        <v>45527</v>
      </c>
      <c r="B375" t="s">
        <v>38</v>
      </c>
      <c r="C375">
        <v>19.2</v>
      </c>
      <c r="E375" t="s">
        <v>27</v>
      </c>
      <c r="F375" t="s">
        <v>86</v>
      </c>
      <c r="G375" t="s">
        <v>70</v>
      </c>
      <c r="H375">
        <f>Tabla1[[#This Row],[Credit]]-Tabla1[[#This Row],[Debit]]</f>
        <v>-19.2</v>
      </c>
      <c r="I375" t="str">
        <f>TEXT(Tabla1[[#This Row],[Date]],"mmmm")</f>
        <v>agosto</v>
      </c>
      <c r="J375" t="str">
        <f>TEXT(DAY(Tabla1[[#This Row],[Date]]),"dddd")</f>
        <v>lunes</v>
      </c>
      <c r="K375">
        <f>MONTH(Tabla1[[#This Row],[Date]])</f>
        <v>8</v>
      </c>
    </row>
    <row r="376" spans="1:11" x14ac:dyDescent="0.25">
      <c r="A376" s="5">
        <v>45528</v>
      </c>
      <c r="B376" t="s">
        <v>39</v>
      </c>
      <c r="C376">
        <v>55</v>
      </c>
      <c r="E376" t="s">
        <v>40</v>
      </c>
      <c r="F376" t="s">
        <v>85</v>
      </c>
      <c r="G376" t="s">
        <v>70</v>
      </c>
      <c r="H376">
        <f>Tabla1[[#This Row],[Credit]]-Tabla1[[#This Row],[Debit]]</f>
        <v>-55</v>
      </c>
      <c r="I376" t="str">
        <f>TEXT(Tabla1[[#This Row],[Date]],"mmmm")</f>
        <v>agosto</v>
      </c>
      <c r="J376" t="str">
        <f>TEXT(DAY(Tabla1[[#This Row],[Date]]),"dddd")</f>
        <v>martes</v>
      </c>
      <c r="K376">
        <f>MONTH(Tabla1[[#This Row],[Date]])</f>
        <v>8</v>
      </c>
    </row>
    <row r="377" spans="1:11" x14ac:dyDescent="0.25">
      <c r="A377" s="5">
        <v>45528</v>
      </c>
      <c r="B377" t="s">
        <v>21</v>
      </c>
      <c r="C377">
        <v>69.700000000000017</v>
      </c>
      <c r="E377" t="s">
        <v>96</v>
      </c>
      <c r="F377" t="s">
        <v>89</v>
      </c>
      <c r="G377" t="s">
        <v>70</v>
      </c>
      <c r="H377">
        <f>Tabla1[[#This Row],[Credit]]-Tabla1[[#This Row],[Debit]]</f>
        <v>-69.700000000000017</v>
      </c>
      <c r="I377" t="str">
        <f>TEXT(Tabla1[[#This Row],[Date]],"mmmm")</f>
        <v>agosto</v>
      </c>
      <c r="J377" t="str">
        <f>TEXT(DAY(Tabla1[[#This Row],[Date]]),"dddd")</f>
        <v>martes</v>
      </c>
      <c r="K377">
        <f>MONTH(Tabla1[[#This Row],[Date]])</f>
        <v>8</v>
      </c>
    </row>
    <row r="378" spans="1:11" x14ac:dyDescent="0.25">
      <c r="A378" s="5">
        <v>45528</v>
      </c>
      <c r="B378" t="s">
        <v>10</v>
      </c>
      <c r="C378">
        <v>5</v>
      </c>
      <c r="E378" t="s">
        <v>11</v>
      </c>
      <c r="F378" t="s">
        <v>86</v>
      </c>
      <c r="G378" t="s">
        <v>70</v>
      </c>
      <c r="H378">
        <f>Tabla1[[#This Row],[Credit]]-Tabla1[[#This Row],[Debit]]</f>
        <v>-5</v>
      </c>
      <c r="I378" t="str">
        <f>TEXT(Tabla1[[#This Row],[Date]],"mmmm")</f>
        <v>agosto</v>
      </c>
      <c r="J378" t="str">
        <f>TEXT(DAY(Tabla1[[#This Row],[Date]]),"dddd")</f>
        <v>martes</v>
      </c>
      <c r="K378">
        <f>MONTH(Tabla1[[#This Row],[Date]])</f>
        <v>8</v>
      </c>
    </row>
    <row r="379" spans="1:11" x14ac:dyDescent="0.25">
      <c r="A379" s="5">
        <v>45529</v>
      </c>
      <c r="B379" t="s">
        <v>10</v>
      </c>
      <c r="C379">
        <v>5</v>
      </c>
      <c r="E379" t="s">
        <v>11</v>
      </c>
      <c r="F379" t="s">
        <v>86</v>
      </c>
      <c r="G379" t="s">
        <v>70</v>
      </c>
      <c r="H379">
        <f>Tabla1[[#This Row],[Credit]]-Tabla1[[#This Row],[Debit]]</f>
        <v>-5</v>
      </c>
      <c r="I379" t="str">
        <f>TEXT(Tabla1[[#This Row],[Date]],"mmmm")</f>
        <v>agosto</v>
      </c>
      <c r="J379" t="str">
        <f>TEXT(DAY(Tabla1[[#This Row],[Date]]),"dddd")</f>
        <v>miércoles</v>
      </c>
      <c r="K379">
        <f>MONTH(Tabla1[[#This Row],[Date]])</f>
        <v>8</v>
      </c>
    </row>
    <row r="380" spans="1:11" x14ac:dyDescent="0.25">
      <c r="A380" s="5">
        <v>45530</v>
      </c>
      <c r="B380" t="s">
        <v>10</v>
      </c>
      <c r="C380">
        <v>5</v>
      </c>
      <c r="E380" t="s">
        <v>11</v>
      </c>
      <c r="F380" t="s">
        <v>86</v>
      </c>
      <c r="G380" t="s">
        <v>70</v>
      </c>
      <c r="H380">
        <f>Tabla1[[#This Row],[Credit]]-Tabla1[[#This Row],[Debit]]</f>
        <v>-5</v>
      </c>
      <c r="I380" t="str">
        <f>TEXT(Tabla1[[#This Row],[Date]],"mmmm")</f>
        <v>agosto</v>
      </c>
      <c r="J380" t="str">
        <f>TEXT(DAY(Tabla1[[#This Row],[Date]]),"dddd")</f>
        <v>jueves</v>
      </c>
      <c r="K380">
        <f>MONTH(Tabla1[[#This Row],[Date]])</f>
        <v>8</v>
      </c>
    </row>
    <row r="381" spans="1:11" x14ac:dyDescent="0.25">
      <c r="A381" s="5">
        <v>45531</v>
      </c>
      <c r="B381" t="s">
        <v>10</v>
      </c>
      <c r="C381">
        <v>5</v>
      </c>
      <c r="E381" t="s">
        <v>11</v>
      </c>
      <c r="F381" t="s">
        <v>86</v>
      </c>
      <c r="G381" t="s">
        <v>70</v>
      </c>
      <c r="H381">
        <f>Tabla1[[#This Row],[Credit]]-Tabla1[[#This Row],[Debit]]</f>
        <v>-5</v>
      </c>
      <c r="I381" t="str">
        <f>TEXT(Tabla1[[#This Row],[Date]],"mmmm")</f>
        <v>agosto</v>
      </c>
      <c r="J381" t="str">
        <f>TEXT(DAY(Tabla1[[#This Row],[Date]]),"dddd")</f>
        <v>viernes</v>
      </c>
      <c r="K381">
        <f>MONTH(Tabla1[[#This Row],[Date]])</f>
        <v>8</v>
      </c>
    </row>
    <row r="382" spans="1:11" x14ac:dyDescent="0.25">
      <c r="A382" s="5">
        <v>45532</v>
      </c>
      <c r="B382" t="s">
        <v>10</v>
      </c>
      <c r="C382">
        <v>5</v>
      </c>
      <c r="E382" t="s">
        <v>11</v>
      </c>
      <c r="F382" t="s">
        <v>86</v>
      </c>
      <c r="G382" t="s">
        <v>70</v>
      </c>
      <c r="H382">
        <f>Tabla1[[#This Row],[Credit]]-Tabla1[[#This Row],[Debit]]</f>
        <v>-5</v>
      </c>
      <c r="I382" t="str">
        <f>TEXT(Tabla1[[#This Row],[Date]],"mmmm")</f>
        <v>agosto</v>
      </c>
      <c r="J382" t="str">
        <f>TEXT(DAY(Tabla1[[#This Row],[Date]]),"dddd")</f>
        <v>sábado</v>
      </c>
      <c r="K382">
        <f>MONTH(Tabla1[[#This Row],[Date]])</f>
        <v>8</v>
      </c>
    </row>
    <row r="383" spans="1:11" x14ac:dyDescent="0.25">
      <c r="A383" s="5">
        <v>45532</v>
      </c>
      <c r="B383" t="s">
        <v>17</v>
      </c>
      <c r="C383">
        <v>117</v>
      </c>
      <c r="E383" t="s">
        <v>95</v>
      </c>
      <c r="F383" t="s">
        <v>87</v>
      </c>
      <c r="G383" t="s">
        <v>70</v>
      </c>
      <c r="H383">
        <f>Tabla1[[#This Row],[Credit]]-Tabla1[[#This Row],[Debit]]</f>
        <v>-117</v>
      </c>
      <c r="I383" t="str">
        <f>TEXT(Tabla1[[#This Row],[Date]],"mmmm")</f>
        <v>agosto</v>
      </c>
      <c r="J383" t="str">
        <f>TEXT(DAY(Tabla1[[#This Row],[Date]]),"dddd")</f>
        <v>sábado</v>
      </c>
      <c r="K383">
        <f>MONTH(Tabla1[[#This Row],[Date]])</f>
        <v>8</v>
      </c>
    </row>
    <row r="384" spans="1:11" x14ac:dyDescent="0.25">
      <c r="A384" s="5">
        <v>45533</v>
      </c>
      <c r="B384" t="s">
        <v>41</v>
      </c>
      <c r="C384">
        <v>131.9</v>
      </c>
      <c r="E384" t="s">
        <v>97</v>
      </c>
      <c r="F384" t="s">
        <v>91</v>
      </c>
      <c r="G384" t="s">
        <v>70</v>
      </c>
      <c r="H384">
        <f>Tabla1[[#This Row],[Credit]]-Tabla1[[#This Row],[Debit]]</f>
        <v>-131.9</v>
      </c>
      <c r="I384" t="str">
        <f>TEXT(Tabla1[[#This Row],[Date]],"mmmm")</f>
        <v>agosto</v>
      </c>
      <c r="J384" t="str">
        <f>TEXT(DAY(Tabla1[[#This Row],[Date]]),"dddd")</f>
        <v>domingo</v>
      </c>
      <c r="K384">
        <f>MONTH(Tabla1[[#This Row],[Date]])</f>
        <v>8</v>
      </c>
    </row>
    <row r="385" spans="1:11" x14ac:dyDescent="0.25">
      <c r="A385" s="5">
        <v>45533</v>
      </c>
      <c r="B385" t="s">
        <v>42</v>
      </c>
      <c r="C385">
        <v>182.39999999999998</v>
      </c>
      <c r="E385" t="s">
        <v>23</v>
      </c>
      <c r="F385" t="s">
        <v>91</v>
      </c>
      <c r="G385" t="s">
        <v>70</v>
      </c>
      <c r="H385">
        <f>Tabla1[[#This Row],[Credit]]-Tabla1[[#This Row],[Debit]]</f>
        <v>-182.39999999999998</v>
      </c>
      <c r="I385" t="str">
        <f>TEXT(Tabla1[[#This Row],[Date]],"mmmm")</f>
        <v>agosto</v>
      </c>
      <c r="J385" t="str">
        <f>TEXT(DAY(Tabla1[[#This Row],[Date]]),"dddd")</f>
        <v>domingo</v>
      </c>
      <c r="K385">
        <f>MONTH(Tabla1[[#This Row],[Date]])</f>
        <v>8</v>
      </c>
    </row>
    <row r="386" spans="1:11" x14ac:dyDescent="0.25">
      <c r="A386" s="5">
        <v>45534</v>
      </c>
      <c r="B386" t="s">
        <v>24</v>
      </c>
      <c r="C386">
        <v>152.29999999999998</v>
      </c>
      <c r="E386" t="s">
        <v>97</v>
      </c>
      <c r="F386" t="s">
        <v>91</v>
      </c>
      <c r="G386" t="s">
        <v>70</v>
      </c>
      <c r="H386">
        <f>Tabla1[[#This Row],[Credit]]-Tabla1[[#This Row],[Debit]]</f>
        <v>-152.29999999999998</v>
      </c>
      <c r="I386" t="str">
        <f>TEXT(Tabla1[[#This Row],[Date]],"mmmm")</f>
        <v>agosto</v>
      </c>
      <c r="J386" t="str">
        <f>TEXT(DAY(Tabla1[[#This Row],[Date]]),"dddd")</f>
        <v>lunes</v>
      </c>
      <c r="K386">
        <f>MONTH(Tabla1[[#This Row],[Date]])</f>
        <v>8</v>
      </c>
    </row>
    <row r="387" spans="1:11" x14ac:dyDescent="0.25">
      <c r="A387" s="5">
        <v>45534</v>
      </c>
      <c r="B387" t="s">
        <v>28</v>
      </c>
      <c r="C387">
        <v>30.300000000000004</v>
      </c>
      <c r="E387" t="s">
        <v>29</v>
      </c>
      <c r="F387" t="s">
        <v>89</v>
      </c>
      <c r="G387" t="s">
        <v>70</v>
      </c>
      <c r="H387">
        <f>Tabla1[[#This Row],[Credit]]-Tabla1[[#This Row],[Debit]]</f>
        <v>-30.300000000000004</v>
      </c>
      <c r="I387" t="str">
        <f>TEXT(Tabla1[[#This Row],[Date]],"mmmm")</f>
        <v>agosto</v>
      </c>
      <c r="J387" t="str">
        <f>TEXT(DAY(Tabla1[[#This Row],[Date]]),"dddd")</f>
        <v>lunes</v>
      </c>
      <c r="K387">
        <f>MONTH(Tabla1[[#This Row],[Date]])</f>
        <v>8</v>
      </c>
    </row>
    <row r="388" spans="1:11" x14ac:dyDescent="0.25">
      <c r="A388" s="5">
        <v>45534</v>
      </c>
      <c r="B388" t="s">
        <v>47</v>
      </c>
      <c r="C388">
        <v>15</v>
      </c>
      <c r="E388" t="s">
        <v>27</v>
      </c>
      <c r="F388" t="s">
        <v>86</v>
      </c>
      <c r="G388" t="s">
        <v>70</v>
      </c>
      <c r="H388">
        <f>Tabla1[[#This Row],[Credit]]-Tabla1[[#This Row],[Debit]]</f>
        <v>-15</v>
      </c>
      <c r="I388" t="str">
        <f>TEXT(Tabla1[[#This Row],[Date]],"mmmm")</f>
        <v>agosto</v>
      </c>
      <c r="J388" t="str">
        <f>TEXT(DAY(Tabla1[[#This Row],[Date]]),"dddd")</f>
        <v>lunes</v>
      </c>
      <c r="K388">
        <f>MONTH(Tabla1[[#This Row],[Date]])</f>
        <v>8</v>
      </c>
    </row>
    <row r="389" spans="1:11" x14ac:dyDescent="0.25">
      <c r="A389" s="5">
        <v>45535</v>
      </c>
      <c r="B389" t="s">
        <v>10</v>
      </c>
      <c r="C389">
        <v>5</v>
      </c>
      <c r="E389" t="s">
        <v>11</v>
      </c>
      <c r="F389" t="s">
        <v>86</v>
      </c>
      <c r="G389" t="s">
        <v>70</v>
      </c>
      <c r="H389">
        <f>Tabla1[[#This Row],[Credit]]-Tabla1[[#This Row],[Debit]]</f>
        <v>-5</v>
      </c>
      <c r="I389" t="str">
        <f>TEXT(Tabla1[[#This Row],[Date]],"mmmm")</f>
        <v>agosto</v>
      </c>
      <c r="J389" t="str">
        <f>TEXT(DAY(Tabla1[[#This Row],[Date]]),"dddd")</f>
        <v>martes</v>
      </c>
      <c r="K389">
        <f>MONTH(Tabla1[[#This Row],[Date]])</f>
        <v>8</v>
      </c>
    </row>
    <row r="390" spans="1:11" x14ac:dyDescent="0.25">
      <c r="A390" s="5">
        <v>45537</v>
      </c>
      <c r="B390" t="s">
        <v>10</v>
      </c>
      <c r="C390">
        <v>5</v>
      </c>
      <c r="E390" t="s">
        <v>11</v>
      </c>
      <c r="F390" t="s">
        <v>86</v>
      </c>
      <c r="G390" t="s">
        <v>70</v>
      </c>
      <c r="H390">
        <f>Tabla1[[#This Row],[Credit]]-Tabla1[[#This Row],[Debit]]</f>
        <v>-5</v>
      </c>
      <c r="I390" t="str">
        <f>TEXT(Tabla1[[#This Row],[Date]],"mmmm")</f>
        <v>septiembre</v>
      </c>
      <c r="J390" t="str">
        <f>TEXT(DAY(Tabla1[[#This Row],[Date]]),"dddd")</f>
        <v>lunes</v>
      </c>
      <c r="K390">
        <f>MONTH(Tabla1[[#This Row],[Date]])</f>
        <v>9</v>
      </c>
    </row>
    <row r="391" spans="1:11" x14ac:dyDescent="0.25">
      <c r="A391" s="5">
        <v>45537</v>
      </c>
      <c r="B391" t="s">
        <v>7</v>
      </c>
      <c r="D391">
        <v>5000</v>
      </c>
      <c r="E391" t="s">
        <v>8</v>
      </c>
      <c r="F391" t="s">
        <v>90</v>
      </c>
      <c r="G391" t="s">
        <v>93</v>
      </c>
      <c r="H391">
        <f>Tabla1[[#This Row],[Credit]]-Tabla1[[#This Row],[Debit]]</f>
        <v>5000</v>
      </c>
      <c r="I391" t="str">
        <f>TEXT(Tabla1[[#This Row],[Date]],"mmmm")</f>
        <v>septiembre</v>
      </c>
      <c r="J391" t="str">
        <f>TEXT(DAY(Tabla1[[#This Row],[Date]]),"dddd")</f>
        <v>lunes</v>
      </c>
      <c r="K391">
        <f>MONTH(Tabla1[[#This Row],[Date]])</f>
        <v>9</v>
      </c>
    </row>
    <row r="392" spans="1:11" x14ac:dyDescent="0.25">
      <c r="A392" s="5">
        <v>45538</v>
      </c>
      <c r="B392" t="s">
        <v>10</v>
      </c>
      <c r="C392">
        <v>5</v>
      </c>
      <c r="E392" t="s">
        <v>11</v>
      </c>
      <c r="F392" t="s">
        <v>86</v>
      </c>
      <c r="G392" t="s">
        <v>70</v>
      </c>
      <c r="H392">
        <f>Tabla1[[#This Row],[Credit]]-Tabla1[[#This Row],[Debit]]</f>
        <v>-5</v>
      </c>
      <c r="I392" t="str">
        <f>TEXT(Tabla1[[#This Row],[Date]],"mmmm")</f>
        <v>septiembre</v>
      </c>
      <c r="J392" t="str">
        <f>TEXT(DAY(Tabla1[[#This Row],[Date]]),"dddd")</f>
        <v>martes</v>
      </c>
      <c r="K392">
        <f>MONTH(Tabla1[[#This Row],[Date]])</f>
        <v>9</v>
      </c>
    </row>
    <row r="393" spans="1:11" x14ac:dyDescent="0.25">
      <c r="A393" s="5">
        <v>45540</v>
      </c>
      <c r="B393" t="s">
        <v>13</v>
      </c>
      <c r="C393">
        <v>900</v>
      </c>
      <c r="E393" t="s">
        <v>94</v>
      </c>
      <c r="F393" t="s">
        <v>87</v>
      </c>
      <c r="G393" t="s">
        <v>70</v>
      </c>
      <c r="H393">
        <f>Tabla1[[#This Row],[Credit]]-Tabla1[[#This Row],[Debit]]</f>
        <v>-900</v>
      </c>
      <c r="I393" t="str">
        <f>TEXT(Tabla1[[#This Row],[Date]],"mmmm")</f>
        <v>septiembre</v>
      </c>
      <c r="J393" t="str">
        <f>TEXT(DAY(Tabla1[[#This Row],[Date]]),"dddd")</f>
        <v>jueves</v>
      </c>
      <c r="K393">
        <f>MONTH(Tabla1[[#This Row],[Date]])</f>
        <v>9</v>
      </c>
    </row>
    <row r="394" spans="1:11" x14ac:dyDescent="0.25">
      <c r="A394" s="5">
        <v>45540</v>
      </c>
      <c r="B394" t="s">
        <v>15</v>
      </c>
      <c r="C394">
        <v>150</v>
      </c>
      <c r="E394" t="s">
        <v>98</v>
      </c>
      <c r="F394" t="s">
        <v>89</v>
      </c>
      <c r="G394" t="s">
        <v>70</v>
      </c>
      <c r="H394">
        <f>Tabla1[[#This Row],[Credit]]-Tabla1[[#This Row],[Debit]]</f>
        <v>-150</v>
      </c>
      <c r="I394" t="str">
        <f>TEXT(Tabla1[[#This Row],[Date]],"mmmm")</f>
        <v>septiembre</v>
      </c>
      <c r="J394" t="str">
        <f>TEXT(DAY(Tabla1[[#This Row],[Date]]),"dddd")</f>
        <v>jueves</v>
      </c>
      <c r="K394">
        <f>MONTH(Tabla1[[#This Row],[Date]])</f>
        <v>9</v>
      </c>
    </row>
    <row r="395" spans="1:11" x14ac:dyDescent="0.25">
      <c r="A395" s="5">
        <v>45540</v>
      </c>
      <c r="B395" t="s">
        <v>10</v>
      </c>
      <c r="C395">
        <v>5</v>
      </c>
      <c r="E395" t="s">
        <v>11</v>
      </c>
      <c r="F395" t="s">
        <v>86</v>
      </c>
      <c r="G395" t="s">
        <v>70</v>
      </c>
      <c r="H395">
        <f>Tabla1[[#This Row],[Credit]]-Tabla1[[#This Row],[Debit]]</f>
        <v>-5</v>
      </c>
      <c r="I395" t="str">
        <f>TEXT(Tabla1[[#This Row],[Date]],"mmmm")</f>
        <v>septiembre</v>
      </c>
      <c r="J395" t="str">
        <f>TEXT(DAY(Tabla1[[#This Row],[Date]]),"dddd")</f>
        <v>jueves</v>
      </c>
      <c r="K395">
        <f>MONTH(Tabla1[[#This Row],[Date]])</f>
        <v>9</v>
      </c>
    </row>
    <row r="396" spans="1:11" x14ac:dyDescent="0.25">
      <c r="A396" s="5">
        <v>45540</v>
      </c>
      <c r="B396" t="s">
        <v>10</v>
      </c>
      <c r="C396">
        <v>5</v>
      </c>
      <c r="E396" t="s">
        <v>11</v>
      </c>
      <c r="F396" t="s">
        <v>86</v>
      </c>
      <c r="G396" t="s">
        <v>70</v>
      </c>
      <c r="H396">
        <f>Tabla1[[#This Row],[Credit]]-Tabla1[[#This Row],[Debit]]</f>
        <v>-5</v>
      </c>
      <c r="I396" t="str">
        <f>TEXT(Tabla1[[#This Row],[Date]],"mmmm")</f>
        <v>septiembre</v>
      </c>
      <c r="J396" t="str">
        <f>TEXT(DAY(Tabla1[[#This Row],[Date]]),"dddd")</f>
        <v>jueves</v>
      </c>
      <c r="K396">
        <f>MONTH(Tabla1[[#This Row],[Date]])</f>
        <v>9</v>
      </c>
    </row>
    <row r="397" spans="1:11" x14ac:dyDescent="0.25">
      <c r="A397" s="5">
        <v>45541</v>
      </c>
      <c r="B397" t="s">
        <v>10</v>
      </c>
      <c r="C397">
        <v>5</v>
      </c>
      <c r="E397" t="s">
        <v>11</v>
      </c>
      <c r="F397" t="s">
        <v>86</v>
      </c>
      <c r="G397" t="s">
        <v>70</v>
      </c>
      <c r="H397">
        <f>Tabla1[[#This Row],[Credit]]-Tabla1[[#This Row],[Debit]]</f>
        <v>-5</v>
      </c>
      <c r="I397" t="str">
        <f>TEXT(Tabla1[[#This Row],[Date]],"mmmm")</f>
        <v>septiembre</v>
      </c>
      <c r="J397" t="str">
        <f>TEXT(DAY(Tabla1[[#This Row],[Date]]),"dddd")</f>
        <v>viernes</v>
      </c>
      <c r="K397">
        <f>MONTH(Tabla1[[#This Row],[Date]])</f>
        <v>9</v>
      </c>
    </row>
    <row r="398" spans="1:11" x14ac:dyDescent="0.25">
      <c r="A398" s="5">
        <v>45542</v>
      </c>
      <c r="B398" t="s">
        <v>10</v>
      </c>
      <c r="C398">
        <v>5</v>
      </c>
      <c r="E398" t="s">
        <v>11</v>
      </c>
      <c r="F398" t="s">
        <v>86</v>
      </c>
      <c r="G398" t="s">
        <v>70</v>
      </c>
      <c r="H398">
        <f>Tabla1[[#This Row],[Credit]]-Tabla1[[#This Row],[Debit]]</f>
        <v>-5</v>
      </c>
      <c r="I398" t="str">
        <f>TEXT(Tabla1[[#This Row],[Date]],"mmmm")</f>
        <v>septiembre</v>
      </c>
      <c r="J398" t="str">
        <f>TEXT(DAY(Tabla1[[#This Row],[Date]]),"dddd")</f>
        <v>sábado</v>
      </c>
      <c r="K398">
        <f>MONTH(Tabla1[[#This Row],[Date]])</f>
        <v>9</v>
      </c>
    </row>
    <row r="399" spans="1:11" x14ac:dyDescent="0.25">
      <c r="A399" s="5">
        <v>45542</v>
      </c>
      <c r="B399" t="s">
        <v>17</v>
      </c>
      <c r="C399">
        <v>163.39999999999998</v>
      </c>
      <c r="E399" t="s">
        <v>95</v>
      </c>
      <c r="F399" t="s">
        <v>87</v>
      </c>
      <c r="G399" t="s">
        <v>70</v>
      </c>
      <c r="H399">
        <f>Tabla1[[#This Row],[Credit]]-Tabla1[[#This Row],[Debit]]</f>
        <v>-163.39999999999998</v>
      </c>
      <c r="I399" t="str">
        <f>TEXT(Tabla1[[#This Row],[Date]],"mmmm")</f>
        <v>septiembre</v>
      </c>
      <c r="J399" t="str">
        <f>TEXT(DAY(Tabla1[[#This Row],[Date]]),"dddd")</f>
        <v>sábado</v>
      </c>
      <c r="K399">
        <f>MONTH(Tabla1[[#This Row],[Date]])</f>
        <v>9</v>
      </c>
    </row>
    <row r="400" spans="1:11" x14ac:dyDescent="0.25">
      <c r="A400" s="5">
        <v>45545</v>
      </c>
      <c r="B400" t="s">
        <v>19</v>
      </c>
      <c r="C400">
        <v>58.1</v>
      </c>
      <c r="E400" t="s">
        <v>20</v>
      </c>
      <c r="F400" t="s">
        <v>87</v>
      </c>
      <c r="G400" t="s">
        <v>70</v>
      </c>
      <c r="H400">
        <f>Tabla1[[#This Row],[Credit]]-Tabla1[[#This Row],[Debit]]</f>
        <v>-58.1</v>
      </c>
      <c r="I400" t="str">
        <f>TEXT(Tabla1[[#This Row],[Date]],"mmmm")</f>
        <v>septiembre</v>
      </c>
      <c r="J400" t="str">
        <f>TEXT(DAY(Tabla1[[#This Row],[Date]]),"dddd")</f>
        <v>martes</v>
      </c>
      <c r="K400">
        <f>MONTH(Tabla1[[#This Row],[Date]])</f>
        <v>9</v>
      </c>
    </row>
    <row r="401" spans="1:11" x14ac:dyDescent="0.25">
      <c r="A401" s="5">
        <v>45545</v>
      </c>
      <c r="B401" t="s">
        <v>10</v>
      </c>
      <c r="C401">
        <v>5</v>
      </c>
      <c r="E401" t="s">
        <v>11</v>
      </c>
      <c r="F401" t="s">
        <v>86</v>
      </c>
      <c r="G401" t="s">
        <v>70</v>
      </c>
      <c r="H401">
        <f>Tabla1[[#This Row],[Credit]]-Tabla1[[#This Row],[Debit]]</f>
        <v>-5</v>
      </c>
      <c r="I401" t="str">
        <f>TEXT(Tabla1[[#This Row],[Date]],"mmmm")</f>
        <v>septiembre</v>
      </c>
      <c r="J401" t="str">
        <f>TEXT(DAY(Tabla1[[#This Row],[Date]]),"dddd")</f>
        <v>martes</v>
      </c>
      <c r="K401">
        <f>MONTH(Tabla1[[#This Row],[Date]])</f>
        <v>9</v>
      </c>
    </row>
    <row r="402" spans="1:11" x14ac:dyDescent="0.25">
      <c r="A402" s="5">
        <v>45546</v>
      </c>
      <c r="B402" t="s">
        <v>10</v>
      </c>
      <c r="C402">
        <v>5</v>
      </c>
      <c r="E402" t="s">
        <v>11</v>
      </c>
      <c r="F402" t="s">
        <v>86</v>
      </c>
      <c r="G402" t="s">
        <v>70</v>
      </c>
      <c r="H402">
        <f>Tabla1[[#This Row],[Credit]]-Tabla1[[#This Row],[Debit]]</f>
        <v>-5</v>
      </c>
      <c r="I402" t="str">
        <f>TEXT(Tabla1[[#This Row],[Date]],"mmmm")</f>
        <v>septiembre</v>
      </c>
      <c r="J402" t="str">
        <f>TEXT(DAY(Tabla1[[#This Row],[Date]]),"dddd")</f>
        <v>miércoles</v>
      </c>
      <c r="K402">
        <f>MONTH(Tabla1[[#This Row],[Date]])</f>
        <v>9</v>
      </c>
    </row>
    <row r="403" spans="1:11" x14ac:dyDescent="0.25">
      <c r="A403" s="5">
        <v>45547</v>
      </c>
      <c r="B403" t="s">
        <v>21</v>
      </c>
      <c r="C403">
        <v>85.299999999999983</v>
      </c>
      <c r="E403" t="s">
        <v>96</v>
      </c>
      <c r="F403" t="s">
        <v>89</v>
      </c>
      <c r="G403" t="s">
        <v>70</v>
      </c>
      <c r="H403">
        <f>Tabla1[[#This Row],[Credit]]-Tabla1[[#This Row],[Debit]]</f>
        <v>-85.299999999999983</v>
      </c>
      <c r="I403" t="str">
        <f>TEXT(Tabla1[[#This Row],[Date]],"mmmm")</f>
        <v>septiembre</v>
      </c>
      <c r="J403" t="str">
        <f>TEXT(DAY(Tabla1[[#This Row],[Date]]),"dddd")</f>
        <v>jueves</v>
      </c>
      <c r="K403">
        <f>MONTH(Tabla1[[#This Row],[Date]])</f>
        <v>9</v>
      </c>
    </row>
    <row r="404" spans="1:11" x14ac:dyDescent="0.25">
      <c r="A404" s="5">
        <v>45547</v>
      </c>
      <c r="B404" t="s">
        <v>10</v>
      </c>
      <c r="C404">
        <v>5</v>
      </c>
      <c r="E404" t="s">
        <v>11</v>
      </c>
      <c r="F404" t="s">
        <v>86</v>
      </c>
      <c r="G404" t="s">
        <v>70</v>
      </c>
      <c r="H404">
        <f>Tabla1[[#This Row],[Credit]]-Tabla1[[#This Row],[Debit]]</f>
        <v>-5</v>
      </c>
      <c r="I404" t="str">
        <f>TEXT(Tabla1[[#This Row],[Date]],"mmmm")</f>
        <v>septiembre</v>
      </c>
      <c r="J404" t="str">
        <f>TEXT(DAY(Tabla1[[#This Row],[Date]]),"dddd")</f>
        <v>jueves</v>
      </c>
      <c r="K404">
        <f>MONTH(Tabla1[[#This Row],[Date]])</f>
        <v>9</v>
      </c>
    </row>
    <row r="405" spans="1:11" x14ac:dyDescent="0.25">
      <c r="A405" s="5">
        <v>45548</v>
      </c>
      <c r="B405" t="s">
        <v>10</v>
      </c>
      <c r="C405">
        <v>5</v>
      </c>
      <c r="E405" t="s">
        <v>11</v>
      </c>
      <c r="F405" t="s">
        <v>86</v>
      </c>
      <c r="G405" t="s">
        <v>70</v>
      </c>
      <c r="H405">
        <f>Tabla1[[#This Row],[Credit]]-Tabla1[[#This Row],[Debit]]</f>
        <v>-5</v>
      </c>
      <c r="I405" t="str">
        <f>TEXT(Tabla1[[#This Row],[Date]],"mmmm")</f>
        <v>septiembre</v>
      </c>
      <c r="J405" t="str">
        <f>TEXT(DAY(Tabla1[[#This Row],[Date]]),"dddd")</f>
        <v>viernes</v>
      </c>
      <c r="K405">
        <f>MONTH(Tabla1[[#This Row],[Date]])</f>
        <v>9</v>
      </c>
    </row>
    <row r="406" spans="1:11" x14ac:dyDescent="0.25">
      <c r="A406" s="5">
        <v>45549</v>
      </c>
      <c r="B406" t="s">
        <v>17</v>
      </c>
      <c r="C406">
        <v>143</v>
      </c>
      <c r="E406" t="s">
        <v>95</v>
      </c>
      <c r="F406" t="s">
        <v>87</v>
      </c>
      <c r="G406" t="s">
        <v>70</v>
      </c>
      <c r="H406">
        <f>Tabla1[[#This Row],[Credit]]-Tabla1[[#This Row],[Debit]]</f>
        <v>-143</v>
      </c>
      <c r="I406" t="str">
        <f>TEXT(Tabla1[[#This Row],[Date]],"mmmm")</f>
        <v>septiembre</v>
      </c>
      <c r="J406" t="str">
        <f>TEXT(DAY(Tabla1[[#This Row],[Date]]),"dddd")</f>
        <v>sábado</v>
      </c>
      <c r="K406">
        <f>MONTH(Tabla1[[#This Row],[Date]])</f>
        <v>9</v>
      </c>
    </row>
    <row r="407" spans="1:11" x14ac:dyDescent="0.25">
      <c r="A407" s="5">
        <v>45549</v>
      </c>
      <c r="B407" t="s">
        <v>10</v>
      </c>
      <c r="C407">
        <v>5</v>
      </c>
      <c r="E407" t="s">
        <v>11</v>
      </c>
      <c r="F407" t="s">
        <v>86</v>
      </c>
      <c r="G407" t="s">
        <v>70</v>
      </c>
      <c r="H407">
        <f>Tabla1[[#This Row],[Credit]]-Tabla1[[#This Row],[Debit]]</f>
        <v>-5</v>
      </c>
      <c r="I407" t="str">
        <f>TEXT(Tabla1[[#This Row],[Date]],"mmmm")</f>
        <v>septiembre</v>
      </c>
      <c r="J407" t="str">
        <f>TEXT(DAY(Tabla1[[#This Row],[Date]]),"dddd")</f>
        <v>sábado</v>
      </c>
      <c r="K407">
        <f>MONTH(Tabla1[[#This Row],[Date]])</f>
        <v>9</v>
      </c>
    </row>
    <row r="408" spans="1:11" x14ac:dyDescent="0.25">
      <c r="A408" s="5">
        <v>45550</v>
      </c>
      <c r="B408" t="s">
        <v>10</v>
      </c>
      <c r="C408">
        <v>5</v>
      </c>
      <c r="E408" t="s">
        <v>11</v>
      </c>
      <c r="F408" t="s">
        <v>86</v>
      </c>
      <c r="G408" t="s">
        <v>70</v>
      </c>
      <c r="H408">
        <f>Tabla1[[#This Row],[Credit]]-Tabla1[[#This Row],[Debit]]</f>
        <v>-5</v>
      </c>
      <c r="I408" t="str">
        <f>TEXT(Tabla1[[#This Row],[Date]],"mmmm")</f>
        <v>septiembre</v>
      </c>
      <c r="J408" t="str">
        <f>TEXT(DAY(Tabla1[[#This Row],[Date]]),"dddd")</f>
        <v>domingo</v>
      </c>
      <c r="K408">
        <f>MONTH(Tabla1[[#This Row],[Date]])</f>
        <v>9</v>
      </c>
    </row>
    <row r="409" spans="1:11" x14ac:dyDescent="0.25">
      <c r="A409" s="5">
        <v>45550</v>
      </c>
      <c r="B409" t="s">
        <v>22</v>
      </c>
      <c r="C409">
        <v>47.8</v>
      </c>
      <c r="E409" t="s">
        <v>23</v>
      </c>
      <c r="F409" t="s">
        <v>91</v>
      </c>
      <c r="G409" t="s">
        <v>70</v>
      </c>
      <c r="H409">
        <f>Tabla1[[#This Row],[Credit]]-Tabla1[[#This Row],[Debit]]</f>
        <v>-47.8</v>
      </c>
      <c r="I409" t="str">
        <f>TEXT(Tabla1[[#This Row],[Date]],"mmmm")</f>
        <v>septiembre</v>
      </c>
      <c r="J409" t="str">
        <f>TEXT(DAY(Tabla1[[#This Row],[Date]]),"dddd")</f>
        <v>domingo</v>
      </c>
      <c r="K409">
        <f>MONTH(Tabla1[[#This Row],[Date]])</f>
        <v>9</v>
      </c>
    </row>
    <row r="410" spans="1:11" x14ac:dyDescent="0.25">
      <c r="A410" s="5">
        <v>45550</v>
      </c>
      <c r="B410" t="s">
        <v>24</v>
      </c>
      <c r="C410">
        <v>105.80000000000001</v>
      </c>
      <c r="E410" t="s">
        <v>97</v>
      </c>
      <c r="F410" t="s">
        <v>91</v>
      </c>
      <c r="G410" t="s">
        <v>70</v>
      </c>
      <c r="H410">
        <f>Tabla1[[#This Row],[Credit]]-Tabla1[[#This Row],[Debit]]</f>
        <v>-105.80000000000001</v>
      </c>
      <c r="I410" t="str">
        <f>TEXT(Tabla1[[#This Row],[Date]],"mmmm")</f>
        <v>septiembre</v>
      </c>
      <c r="J410" t="str">
        <f>TEXT(DAY(Tabla1[[#This Row],[Date]]),"dddd")</f>
        <v>domingo</v>
      </c>
      <c r="K410">
        <f>MONTH(Tabla1[[#This Row],[Date]])</f>
        <v>9</v>
      </c>
    </row>
    <row r="411" spans="1:11" x14ac:dyDescent="0.25">
      <c r="A411" s="5">
        <v>45550</v>
      </c>
      <c r="B411" t="s">
        <v>26</v>
      </c>
      <c r="C411">
        <v>60.1</v>
      </c>
      <c r="E411" t="s">
        <v>27</v>
      </c>
      <c r="F411" t="s">
        <v>86</v>
      </c>
      <c r="G411" t="s">
        <v>70</v>
      </c>
      <c r="H411">
        <f>Tabla1[[#This Row],[Credit]]-Tabla1[[#This Row],[Debit]]</f>
        <v>-60.1</v>
      </c>
      <c r="I411" t="str">
        <f>TEXT(Tabla1[[#This Row],[Date]],"mmmm")</f>
        <v>septiembre</v>
      </c>
      <c r="J411" t="str">
        <f>TEXT(DAY(Tabla1[[#This Row],[Date]]),"dddd")</f>
        <v>domingo</v>
      </c>
      <c r="K411">
        <f>MONTH(Tabla1[[#This Row],[Date]])</f>
        <v>9</v>
      </c>
    </row>
    <row r="412" spans="1:11" x14ac:dyDescent="0.25">
      <c r="A412" s="5">
        <v>45551</v>
      </c>
      <c r="B412" t="s">
        <v>28</v>
      </c>
      <c r="C412">
        <v>36.200000000000003</v>
      </c>
      <c r="E412" t="s">
        <v>29</v>
      </c>
      <c r="F412" t="s">
        <v>89</v>
      </c>
      <c r="G412" t="s">
        <v>70</v>
      </c>
      <c r="H412">
        <f>Tabla1[[#This Row],[Credit]]-Tabla1[[#This Row],[Debit]]</f>
        <v>-36.200000000000003</v>
      </c>
      <c r="I412" t="str">
        <f>TEXT(Tabla1[[#This Row],[Date]],"mmmm")</f>
        <v>septiembre</v>
      </c>
      <c r="J412" t="str">
        <f>TEXT(DAY(Tabla1[[#This Row],[Date]]),"dddd")</f>
        <v>lunes</v>
      </c>
      <c r="K412">
        <f>MONTH(Tabla1[[#This Row],[Date]])</f>
        <v>9</v>
      </c>
    </row>
    <row r="413" spans="1:11" x14ac:dyDescent="0.25">
      <c r="A413" s="5">
        <v>45552</v>
      </c>
      <c r="B413" t="s">
        <v>30</v>
      </c>
      <c r="D413">
        <v>100</v>
      </c>
      <c r="E413" t="s">
        <v>31</v>
      </c>
      <c r="F413" t="s">
        <v>92</v>
      </c>
      <c r="G413" t="s">
        <v>93</v>
      </c>
      <c r="H413">
        <f>Tabla1[[#This Row],[Credit]]-Tabla1[[#This Row],[Debit]]</f>
        <v>100</v>
      </c>
      <c r="I413" t="str">
        <f>TEXT(Tabla1[[#This Row],[Date]],"mmmm")</f>
        <v>septiembre</v>
      </c>
      <c r="J413" t="str">
        <f>TEXT(DAY(Tabla1[[#This Row],[Date]]),"dddd")</f>
        <v>martes</v>
      </c>
      <c r="K413">
        <f>MONTH(Tabla1[[#This Row],[Date]])</f>
        <v>9</v>
      </c>
    </row>
    <row r="414" spans="1:11" x14ac:dyDescent="0.25">
      <c r="A414" s="5">
        <v>45552</v>
      </c>
      <c r="B414" t="s">
        <v>10</v>
      </c>
      <c r="C414">
        <v>5</v>
      </c>
      <c r="E414" t="s">
        <v>11</v>
      </c>
      <c r="F414" t="s">
        <v>86</v>
      </c>
      <c r="G414" t="s">
        <v>70</v>
      </c>
      <c r="H414">
        <f>Tabla1[[#This Row],[Credit]]-Tabla1[[#This Row],[Debit]]</f>
        <v>-5</v>
      </c>
      <c r="I414" t="str">
        <f>TEXT(Tabla1[[#This Row],[Date]],"mmmm")</f>
        <v>septiembre</v>
      </c>
      <c r="J414" t="str">
        <f>TEXT(DAY(Tabla1[[#This Row],[Date]]),"dddd")</f>
        <v>martes</v>
      </c>
      <c r="K414">
        <f>MONTH(Tabla1[[#This Row],[Date]])</f>
        <v>9</v>
      </c>
    </row>
    <row r="415" spans="1:11" x14ac:dyDescent="0.25">
      <c r="A415" s="5">
        <v>45553</v>
      </c>
      <c r="B415" t="s">
        <v>10</v>
      </c>
      <c r="C415">
        <v>5</v>
      </c>
      <c r="E415" t="s">
        <v>11</v>
      </c>
      <c r="F415" t="s">
        <v>86</v>
      </c>
      <c r="G415" t="s">
        <v>70</v>
      </c>
      <c r="H415">
        <f>Tabla1[[#This Row],[Credit]]-Tabla1[[#This Row],[Debit]]</f>
        <v>-5</v>
      </c>
      <c r="I415" t="str">
        <f>TEXT(Tabla1[[#This Row],[Date]],"mmmm")</f>
        <v>septiembre</v>
      </c>
      <c r="J415" t="str">
        <f>TEXT(DAY(Tabla1[[#This Row],[Date]]),"dddd")</f>
        <v>miércoles</v>
      </c>
      <c r="K415">
        <f>MONTH(Tabla1[[#This Row],[Date]])</f>
        <v>9</v>
      </c>
    </row>
    <row r="416" spans="1:11" x14ac:dyDescent="0.25">
      <c r="A416" s="5">
        <v>45553</v>
      </c>
      <c r="B416" t="s">
        <v>33</v>
      </c>
      <c r="C416">
        <v>40</v>
      </c>
      <c r="E416" t="s">
        <v>33</v>
      </c>
      <c r="F416" t="s">
        <v>87</v>
      </c>
      <c r="G416" t="s">
        <v>70</v>
      </c>
      <c r="H416">
        <f>Tabla1[[#This Row],[Credit]]-Tabla1[[#This Row],[Debit]]</f>
        <v>-40</v>
      </c>
      <c r="I416" t="str">
        <f>TEXT(Tabla1[[#This Row],[Date]],"mmmm")</f>
        <v>septiembre</v>
      </c>
      <c r="J416" t="str">
        <f>TEXT(DAY(Tabla1[[#This Row],[Date]]),"dddd")</f>
        <v>miércoles</v>
      </c>
      <c r="K416">
        <f>MONTH(Tabla1[[#This Row],[Date]])</f>
        <v>9</v>
      </c>
    </row>
    <row r="417" spans="1:11" x14ac:dyDescent="0.25">
      <c r="A417" s="5">
        <v>45554</v>
      </c>
      <c r="B417" t="s">
        <v>34</v>
      </c>
      <c r="C417">
        <v>53</v>
      </c>
      <c r="E417" t="s">
        <v>35</v>
      </c>
      <c r="F417" t="s">
        <v>91</v>
      </c>
      <c r="G417" t="s">
        <v>70</v>
      </c>
      <c r="H417">
        <f>Tabla1[[#This Row],[Credit]]-Tabla1[[#This Row],[Debit]]</f>
        <v>-53</v>
      </c>
      <c r="I417" t="str">
        <f>TEXT(Tabla1[[#This Row],[Date]],"mmmm")</f>
        <v>septiembre</v>
      </c>
      <c r="J417" t="str">
        <f>TEXT(DAY(Tabla1[[#This Row],[Date]]),"dddd")</f>
        <v>jueves</v>
      </c>
      <c r="K417">
        <f>MONTH(Tabla1[[#This Row],[Date]])</f>
        <v>9</v>
      </c>
    </row>
    <row r="418" spans="1:11" x14ac:dyDescent="0.25">
      <c r="A418" s="5">
        <v>45554</v>
      </c>
      <c r="B418" t="s">
        <v>36</v>
      </c>
      <c r="C418">
        <v>35</v>
      </c>
      <c r="E418" t="s">
        <v>23</v>
      </c>
      <c r="F418" t="s">
        <v>91</v>
      </c>
      <c r="G418" t="s">
        <v>70</v>
      </c>
      <c r="H418">
        <f>Tabla1[[#This Row],[Credit]]-Tabla1[[#This Row],[Debit]]</f>
        <v>-35</v>
      </c>
      <c r="I418" t="str">
        <f>TEXT(Tabla1[[#This Row],[Date]],"mmmm")</f>
        <v>septiembre</v>
      </c>
      <c r="J418" t="str">
        <f>TEXT(DAY(Tabla1[[#This Row],[Date]]),"dddd")</f>
        <v>jueves</v>
      </c>
      <c r="K418">
        <f>MONTH(Tabla1[[#This Row],[Date]])</f>
        <v>9</v>
      </c>
    </row>
    <row r="419" spans="1:11" x14ac:dyDescent="0.25">
      <c r="A419" s="5">
        <v>45554</v>
      </c>
      <c r="B419" t="s">
        <v>10</v>
      </c>
      <c r="C419">
        <v>5</v>
      </c>
      <c r="E419" t="s">
        <v>11</v>
      </c>
      <c r="F419" t="s">
        <v>86</v>
      </c>
      <c r="G419" t="s">
        <v>70</v>
      </c>
      <c r="H419">
        <f>Tabla1[[#This Row],[Credit]]-Tabla1[[#This Row],[Debit]]</f>
        <v>-5</v>
      </c>
      <c r="I419" t="str">
        <f>TEXT(Tabla1[[#This Row],[Date]],"mmmm")</f>
        <v>septiembre</v>
      </c>
      <c r="J419" t="str">
        <f>TEXT(DAY(Tabla1[[#This Row],[Date]]),"dddd")</f>
        <v>jueves</v>
      </c>
      <c r="K419">
        <f>MONTH(Tabla1[[#This Row],[Date]])</f>
        <v>9</v>
      </c>
    </row>
    <row r="420" spans="1:11" x14ac:dyDescent="0.25">
      <c r="A420" s="5">
        <v>45555</v>
      </c>
      <c r="B420" t="s">
        <v>10</v>
      </c>
      <c r="C420">
        <v>5</v>
      </c>
      <c r="E420" t="s">
        <v>11</v>
      </c>
      <c r="F420" t="s">
        <v>86</v>
      </c>
      <c r="G420" t="s">
        <v>70</v>
      </c>
      <c r="H420">
        <f>Tabla1[[#This Row],[Credit]]-Tabla1[[#This Row],[Debit]]</f>
        <v>-5</v>
      </c>
      <c r="I420" t="str">
        <f>TEXT(Tabla1[[#This Row],[Date]],"mmmm")</f>
        <v>septiembre</v>
      </c>
      <c r="J420" t="str">
        <f>TEXT(DAY(Tabla1[[#This Row],[Date]]),"dddd")</f>
        <v>viernes</v>
      </c>
      <c r="K420">
        <f>MONTH(Tabla1[[#This Row],[Date]])</f>
        <v>9</v>
      </c>
    </row>
    <row r="421" spans="1:11" x14ac:dyDescent="0.25">
      <c r="A421" s="5">
        <v>45556</v>
      </c>
      <c r="B421" t="s">
        <v>10</v>
      </c>
      <c r="C421">
        <v>5</v>
      </c>
      <c r="E421" t="s">
        <v>11</v>
      </c>
      <c r="F421" t="s">
        <v>86</v>
      </c>
      <c r="G421" t="s">
        <v>70</v>
      </c>
      <c r="H421">
        <f>Tabla1[[#This Row],[Credit]]-Tabla1[[#This Row],[Debit]]</f>
        <v>-5</v>
      </c>
      <c r="I421" t="str">
        <f>TEXT(Tabla1[[#This Row],[Date]],"mmmm")</f>
        <v>septiembre</v>
      </c>
      <c r="J421" t="str">
        <f>TEXT(DAY(Tabla1[[#This Row],[Date]]),"dddd")</f>
        <v>sábado</v>
      </c>
      <c r="K421">
        <f>MONTH(Tabla1[[#This Row],[Date]])</f>
        <v>9</v>
      </c>
    </row>
    <row r="422" spans="1:11" x14ac:dyDescent="0.25">
      <c r="A422" s="5">
        <v>45556</v>
      </c>
      <c r="B422" t="s">
        <v>17</v>
      </c>
      <c r="C422">
        <v>177.9</v>
      </c>
      <c r="E422" t="s">
        <v>95</v>
      </c>
      <c r="F422" t="s">
        <v>87</v>
      </c>
      <c r="G422" t="s">
        <v>70</v>
      </c>
      <c r="H422">
        <f>Tabla1[[#This Row],[Credit]]-Tabla1[[#This Row],[Debit]]</f>
        <v>-177.9</v>
      </c>
      <c r="I422" t="str">
        <f>TEXT(Tabla1[[#This Row],[Date]],"mmmm")</f>
        <v>septiembre</v>
      </c>
      <c r="J422" t="str">
        <f>TEXT(DAY(Tabla1[[#This Row],[Date]]),"dddd")</f>
        <v>sábado</v>
      </c>
      <c r="K422">
        <f>MONTH(Tabla1[[#This Row],[Date]])</f>
        <v>9</v>
      </c>
    </row>
    <row r="423" spans="1:11" x14ac:dyDescent="0.25">
      <c r="A423" s="5">
        <v>45557</v>
      </c>
      <c r="B423" t="s">
        <v>37</v>
      </c>
      <c r="C423">
        <v>45.300000000000004</v>
      </c>
      <c r="E423" t="s">
        <v>27</v>
      </c>
      <c r="F423" t="s">
        <v>86</v>
      </c>
      <c r="G423" t="s">
        <v>70</v>
      </c>
      <c r="H423">
        <f>Tabla1[[#This Row],[Credit]]-Tabla1[[#This Row],[Debit]]</f>
        <v>-45.300000000000004</v>
      </c>
      <c r="I423" t="str">
        <f>TEXT(Tabla1[[#This Row],[Date]],"mmmm")</f>
        <v>septiembre</v>
      </c>
      <c r="J423" t="str">
        <f>TEXT(DAY(Tabla1[[#This Row],[Date]]),"dddd")</f>
        <v>domingo</v>
      </c>
      <c r="K423">
        <f>MONTH(Tabla1[[#This Row],[Date]])</f>
        <v>9</v>
      </c>
    </row>
    <row r="424" spans="1:11" x14ac:dyDescent="0.25">
      <c r="A424" s="5">
        <v>45558</v>
      </c>
      <c r="B424" t="s">
        <v>38</v>
      </c>
      <c r="C424">
        <v>20.099999999999998</v>
      </c>
      <c r="E424" t="s">
        <v>27</v>
      </c>
      <c r="F424" t="s">
        <v>86</v>
      </c>
      <c r="G424" t="s">
        <v>70</v>
      </c>
      <c r="H424">
        <f>Tabla1[[#This Row],[Credit]]-Tabla1[[#This Row],[Debit]]</f>
        <v>-20.099999999999998</v>
      </c>
      <c r="I424" t="str">
        <f>TEXT(Tabla1[[#This Row],[Date]],"mmmm")</f>
        <v>septiembre</v>
      </c>
      <c r="J424" t="str">
        <f>TEXT(DAY(Tabla1[[#This Row],[Date]]),"dddd")</f>
        <v>lunes</v>
      </c>
      <c r="K424">
        <f>MONTH(Tabla1[[#This Row],[Date]])</f>
        <v>9</v>
      </c>
    </row>
    <row r="425" spans="1:11" x14ac:dyDescent="0.25">
      <c r="A425" s="5">
        <v>45559</v>
      </c>
      <c r="B425" t="s">
        <v>39</v>
      </c>
      <c r="C425">
        <v>55</v>
      </c>
      <c r="E425" t="s">
        <v>40</v>
      </c>
      <c r="F425" t="s">
        <v>85</v>
      </c>
      <c r="G425" t="s">
        <v>70</v>
      </c>
      <c r="H425">
        <f>Tabla1[[#This Row],[Credit]]-Tabla1[[#This Row],[Debit]]</f>
        <v>-55</v>
      </c>
      <c r="I425" t="str">
        <f>TEXT(Tabla1[[#This Row],[Date]],"mmmm")</f>
        <v>septiembre</v>
      </c>
      <c r="J425" t="str">
        <f>TEXT(DAY(Tabla1[[#This Row],[Date]]),"dddd")</f>
        <v>martes</v>
      </c>
      <c r="K425">
        <f>MONTH(Tabla1[[#This Row],[Date]])</f>
        <v>9</v>
      </c>
    </row>
    <row r="426" spans="1:11" x14ac:dyDescent="0.25">
      <c r="A426" s="5">
        <v>45559</v>
      </c>
      <c r="B426" t="s">
        <v>21</v>
      </c>
      <c r="C426">
        <v>70.600000000000023</v>
      </c>
      <c r="E426" t="s">
        <v>96</v>
      </c>
      <c r="F426" t="s">
        <v>89</v>
      </c>
      <c r="G426" t="s">
        <v>70</v>
      </c>
      <c r="H426">
        <f>Tabla1[[#This Row],[Credit]]-Tabla1[[#This Row],[Debit]]</f>
        <v>-70.600000000000023</v>
      </c>
      <c r="I426" t="str">
        <f>TEXT(Tabla1[[#This Row],[Date]],"mmmm")</f>
        <v>septiembre</v>
      </c>
      <c r="J426" t="str">
        <f>TEXT(DAY(Tabla1[[#This Row],[Date]]),"dddd")</f>
        <v>martes</v>
      </c>
      <c r="K426">
        <f>MONTH(Tabla1[[#This Row],[Date]])</f>
        <v>9</v>
      </c>
    </row>
    <row r="427" spans="1:11" x14ac:dyDescent="0.25">
      <c r="A427" s="5">
        <v>45559</v>
      </c>
      <c r="B427" t="s">
        <v>10</v>
      </c>
      <c r="C427">
        <v>5</v>
      </c>
      <c r="E427" t="s">
        <v>11</v>
      </c>
      <c r="F427" t="s">
        <v>86</v>
      </c>
      <c r="G427" t="s">
        <v>70</v>
      </c>
      <c r="H427">
        <f>Tabla1[[#This Row],[Credit]]-Tabla1[[#This Row],[Debit]]</f>
        <v>-5</v>
      </c>
      <c r="I427" t="str">
        <f>TEXT(Tabla1[[#This Row],[Date]],"mmmm")</f>
        <v>septiembre</v>
      </c>
      <c r="J427" t="str">
        <f>TEXT(DAY(Tabla1[[#This Row],[Date]]),"dddd")</f>
        <v>martes</v>
      </c>
      <c r="K427">
        <f>MONTH(Tabla1[[#This Row],[Date]])</f>
        <v>9</v>
      </c>
    </row>
    <row r="428" spans="1:11" x14ac:dyDescent="0.25">
      <c r="A428" s="5">
        <v>45560</v>
      </c>
      <c r="B428" t="s">
        <v>10</v>
      </c>
      <c r="C428">
        <v>5</v>
      </c>
      <c r="E428" t="s">
        <v>11</v>
      </c>
      <c r="F428" t="s">
        <v>86</v>
      </c>
      <c r="G428" t="s">
        <v>70</v>
      </c>
      <c r="H428">
        <f>Tabla1[[#This Row],[Credit]]-Tabla1[[#This Row],[Debit]]</f>
        <v>-5</v>
      </c>
      <c r="I428" t="str">
        <f>TEXT(Tabla1[[#This Row],[Date]],"mmmm")</f>
        <v>septiembre</v>
      </c>
      <c r="J428" t="str">
        <f>TEXT(DAY(Tabla1[[#This Row],[Date]]),"dddd")</f>
        <v>miércoles</v>
      </c>
      <c r="K428">
        <f>MONTH(Tabla1[[#This Row],[Date]])</f>
        <v>9</v>
      </c>
    </row>
    <row r="429" spans="1:11" x14ac:dyDescent="0.25">
      <c r="A429" s="5">
        <v>45561</v>
      </c>
      <c r="B429" t="s">
        <v>10</v>
      </c>
      <c r="C429">
        <v>5</v>
      </c>
      <c r="E429" t="s">
        <v>11</v>
      </c>
      <c r="F429" t="s">
        <v>86</v>
      </c>
      <c r="G429" t="s">
        <v>70</v>
      </c>
      <c r="H429">
        <f>Tabla1[[#This Row],[Credit]]-Tabla1[[#This Row],[Debit]]</f>
        <v>-5</v>
      </c>
      <c r="I429" t="str">
        <f>TEXT(Tabla1[[#This Row],[Date]],"mmmm")</f>
        <v>septiembre</v>
      </c>
      <c r="J429" t="str">
        <f>TEXT(DAY(Tabla1[[#This Row],[Date]]),"dddd")</f>
        <v>jueves</v>
      </c>
      <c r="K429">
        <f>MONTH(Tabla1[[#This Row],[Date]])</f>
        <v>9</v>
      </c>
    </row>
    <row r="430" spans="1:11" x14ac:dyDescent="0.25">
      <c r="A430" s="5">
        <v>45562</v>
      </c>
      <c r="B430" t="s">
        <v>10</v>
      </c>
      <c r="C430">
        <v>5</v>
      </c>
      <c r="E430" t="s">
        <v>11</v>
      </c>
      <c r="F430" t="s">
        <v>86</v>
      </c>
      <c r="G430" t="s">
        <v>70</v>
      </c>
      <c r="H430">
        <f>Tabla1[[#This Row],[Credit]]-Tabla1[[#This Row],[Debit]]</f>
        <v>-5</v>
      </c>
      <c r="I430" t="str">
        <f>TEXT(Tabla1[[#This Row],[Date]],"mmmm")</f>
        <v>septiembre</v>
      </c>
      <c r="J430" t="str">
        <f>TEXT(DAY(Tabla1[[#This Row],[Date]]),"dddd")</f>
        <v>viernes</v>
      </c>
      <c r="K430">
        <f>MONTH(Tabla1[[#This Row],[Date]])</f>
        <v>9</v>
      </c>
    </row>
    <row r="431" spans="1:11" x14ac:dyDescent="0.25">
      <c r="A431" s="5">
        <v>45563</v>
      </c>
      <c r="B431" t="s">
        <v>10</v>
      </c>
      <c r="C431">
        <v>5</v>
      </c>
      <c r="E431" t="s">
        <v>11</v>
      </c>
      <c r="F431" t="s">
        <v>86</v>
      </c>
      <c r="G431" t="s">
        <v>70</v>
      </c>
      <c r="H431">
        <f>Tabla1[[#This Row],[Credit]]-Tabla1[[#This Row],[Debit]]</f>
        <v>-5</v>
      </c>
      <c r="I431" t="str">
        <f>TEXT(Tabla1[[#This Row],[Date]],"mmmm")</f>
        <v>septiembre</v>
      </c>
      <c r="J431" t="str">
        <f>TEXT(DAY(Tabla1[[#This Row],[Date]]),"dddd")</f>
        <v>sábado</v>
      </c>
      <c r="K431">
        <f>MONTH(Tabla1[[#This Row],[Date]])</f>
        <v>9</v>
      </c>
    </row>
    <row r="432" spans="1:11" x14ac:dyDescent="0.25">
      <c r="A432" s="5">
        <v>45563</v>
      </c>
      <c r="B432" t="s">
        <v>17</v>
      </c>
      <c r="C432">
        <v>223</v>
      </c>
      <c r="E432" t="s">
        <v>95</v>
      </c>
      <c r="F432" t="s">
        <v>87</v>
      </c>
      <c r="G432" t="s">
        <v>70</v>
      </c>
      <c r="H432">
        <f>Tabla1[[#This Row],[Credit]]-Tabla1[[#This Row],[Debit]]</f>
        <v>-223</v>
      </c>
      <c r="I432" t="str">
        <f>TEXT(Tabla1[[#This Row],[Date]],"mmmm")</f>
        <v>septiembre</v>
      </c>
      <c r="J432" t="str">
        <f>TEXT(DAY(Tabla1[[#This Row],[Date]]),"dddd")</f>
        <v>sábado</v>
      </c>
      <c r="K432">
        <f>MONTH(Tabla1[[#This Row],[Date]])</f>
        <v>9</v>
      </c>
    </row>
    <row r="433" spans="1:11" x14ac:dyDescent="0.25">
      <c r="A433" s="5">
        <v>45564</v>
      </c>
      <c r="B433" t="s">
        <v>41</v>
      </c>
      <c r="C433">
        <v>132.9</v>
      </c>
      <c r="E433" t="s">
        <v>97</v>
      </c>
      <c r="F433" t="s">
        <v>91</v>
      </c>
      <c r="G433" t="s">
        <v>70</v>
      </c>
      <c r="H433">
        <f>Tabla1[[#This Row],[Credit]]-Tabla1[[#This Row],[Debit]]</f>
        <v>-132.9</v>
      </c>
      <c r="I433" t="str">
        <f>TEXT(Tabla1[[#This Row],[Date]],"mmmm")</f>
        <v>septiembre</v>
      </c>
      <c r="J433" t="str">
        <f>TEXT(DAY(Tabla1[[#This Row],[Date]]),"dddd")</f>
        <v>domingo</v>
      </c>
      <c r="K433">
        <f>MONTH(Tabla1[[#This Row],[Date]])</f>
        <v>9</v>
      </c>
    </row>
    <row r="434" spans="1:11" x14ac:dyDescent="0.25">
      <c r="A434" s="5">
        <v>45564</v>
      </c>
      <c r="B434" t="s">
        <v>43</v>
      </c>
      <c r="C434">
        <v>175</v>
      </c>
      <c r="E434" t="s">
        <v>97</v>
      </c>
      <c r="F434" t="s">
        <v>91</v>
      </c>
      <c r="G434" t="s">
        <v>70</v>
      </c>
      <c r="H434">
        <f>Tabla1[[#This Row],[Credit]]-Tabla1[[#This Row],[Debit]]</f>
        <v>-175</v>
      </c>
      <c r="I434" t="str">
        <f>TEXT(Tabla1[[#This Row],[Date]],"mmmm")</f>
        <v>septiembre</v>
      </c>
      <c r="J434" t="str">
        <f>TEXT(DAY(Tabla1[[#This Row],[Date]]),"dddd")</f>
        <v>domingo</v>
      </c>
      <c r="K434">
        <f>MONTH(Tabla1[[#This Row],[Date]])</f>
        <v>9</v>
      </c>
    </row>
    <row r="435" spans="1:11" x14ac:dyDescent="0.25">
      <c r="A435" s="5">
        <v>45565</v>
      </c>
      <c r="B435" t="s">
        <v>24</v>
      </c>
      <c r="C435">
        <v>153.39999999999998</v>
      </c>
      <c r="E435" t="s">
        <v>97</v>
      </c>
      <c r="F435" t="s">
        <v>91</v>
      </c>
      <c r="G435" t="s">
        <v>70</v>
      </c>
      <c r="H435">
        <f>Tabla1[[#This Row],[Credit]]-Tabla1[[#This Row],[Debit]]</f>
        <v>-153.39999999999998</v>
      </c>
      <c r="I435" t="str">
        <f>TEXT(Tabla1[[#This Row],[Date]],"mmmm")</f>
        <v>septiembre</v>
      </c>
      <c r="J435" t="str">
        <f>TEXT(DAY(Tabla1[[#This Row],[Date]]),"dddd")</f>
        <v>lunes</v>
      </c>
      <c r="K435">
        <f>MONTH(Tabla1[[#This Row],[Date]])</f>
        <v>9</v>
      </c>
    </row>
    <row r="436" spans="1:11" x14ac:dyDescent="0.25">
      <c r="A436" s="5">
        <v>45565</v>
      </c>
      <c r="B436" t="s">
        <v>28</v>
      </c>
      <c r="C436">
        <v>31.200000000000003</v>
      </c>
      <c r="E436" t="s">
        <v>29</v>
      </c>
      <c r="F436" t="s">
        <v>89</v>
      </c>
      <c r="G436" t="s">
        <v>70</v>
      </c>
      <c r="H436">
        <f>Tabla1[[#This Row],[Credit]]-Tabla1[[#This Row],[Debit]]</f>
        <v>-31.200000000000003</v>
      </c>
      <c r="I436" t="str">
        <f>TEXT(Tabla1[[#This Row],[Date]],"mmmm")</f>
        <v>septiembre</v>
      </c>
      <c r="J436" t="str">
        <f>TEXT(DAY(Tabla1[[#This Row],[Date]]),"dddd")</f>
        <v>lunes</v>
      </c>
      <c r="K436">
        <f>MONTH(Tabla1[[#This Row],[Date]])</f>
        <v>9</v>
      </c>
    </row>
    <row r="437" spans="1:11" x14ac:dyDescent="0.25">
      <c r="A437" s="5">
        <v>45565</v>
      </c>
      <c r="B437" t="s">
        <v>47</v>
      </c>
      <c r="C437">
        <v>15</v>
      </c>
      <c r="E437" t="s">
        <v>27</v>
      </c>
      <c r="F437" t="s">
        <v>86</v>
      </c>
      <c r="G437" t="s">
        <v>70</v>
      </c>
      <c r="H437">
        <f>Tabla1[[#This Row],[Credit]]-Tabla1[[#This Row],[Debit]]</f>
        <v>-15</v>
      </c>
      <c r="I437" t="str">
        <f>TEXT(Tabla1[[#This Row],[Date]],"mmmm")</f>
        <v>septiembre</v>
      </c>
      <c r="J437" t="str">
        <f>TEXT(DAY(Tabla1[[#This Row],[Date]]),"dddd")</f>
        <v>lunes</v>
      </c>
      <c r="K437">
        <f>MONTH(Tabla1[[#This Row],[Date]])</f>
        <v>9</v>
      </c>
    </row>
    <row r="438" spans="1:11" x14ac:dyDescent="0.25">
      <c r="A438" s="5">
        <v>45566</v>
      </c>
      <c r="B438" t="s">
        <v>10</v>
      </c>
      <c r="C438">
        <v>5</v>
      </c>
      <c r="E438" t="s">
        <v>11</v>
      </c>
      <c r="F438" t="s">
        <v>86</v>
      </c>
      <c r="G438" t="s">
        <v>70</v>
      </c>
      <c r="H438">
        <f>Tabla1[[#This Row],[Credit]]-Tabla1[[#This Row],[Debit]]</f>
        <v>-5</v>
      </c>
      <c r="I438" t="str">
        <f>TEXT(Tabla1[[#This Row],[Date]],"mmmm")</f>
        <v>octubre</v>
      </c>
      <c r="J438" t="str">
        <f>TEXT(DAY(Tabla1[[#This Row],[Date]]),"dddd")</f>
        <v>domingo</v>
      </c>
      <c r="K438">
        <f>MONTH(Tabla1[[#This Row],[Date]])</f>
        <v>10</v>
      </c>
    </row>
    <row r="439" spans="1:11" x14ac:dyDescent="0.25">
      <c r="A439" s="5">
        <v>45568</v>
      </c>
      <c r="B439" t="s">
        <v>10</v>
      </c>
      <c r="C439">
        <v>5</v>
      </c>
      <c r="E439" t="s">
        <v>11</v>
      </c>
      <c r="F439" t="s">
        <v>86</v>
      </c>
      <c r="G439" t="s">
        <v>70</v>
      </c>
      <c r="H439">
        <f>Tabla1[[#This Row],[Credit]]-Tabla1[[#This Row],[Debit]]</f>
        <v>-5</v>
      </c>
      <c r="I439" t="str">
        <f>TEXT(Tabla1[[#This Row],[Date]],"mmmm")</f>
        <v>octubre</v>
      </c>
      <c r="J439" t="str">
        <f>TEXT(DAY(Tabla1[[#This Row],[Date]]),"dddd")</f>
        <v>martes</v>
      </c>
      <c r="K439">
        <f>MONTH(Tabla1[[#This Row],[Date]])</f>
        <v>10</v>
      </c>
    </row>
    <row r="440" spans="1:11" x14ac:dyDescent="0.25">
      <c r="A440" s="5">
        <v>45568</v>
      </c>
      <c r="B440" t="s">
        <v>7</v>
      </c>
      <c r="D440">
        <v>5000</v>
      </c>
      <c r="E440" t="s">
        <v>8</v>
      </c>
      <c r="F440" t="s">
        <v>90</v>
      </c>
      <c r="G440" t="s">
        <v>93</v>
      </c>
      <c r="H440">
        <f>Tabla1[[#This Row],[Credit]]-Tabla1[[#This Row],[Debit]]</f>
        <v>5000</v>
      </c>
      <c r="I440" t="str">
        <f>TEXT(Tabla1[[#This Row],[Date]],"mmmm")</f>
        <v>octubre</v>
      </c>
      <c r="J440" t="str">
        <f>TEXT(DAY(Tabla1[[#This Row],[Date]]),"dddd")</f>
        <v>martes</v>
      </c>
      <c r="K440">
        <f>MONTH(Tabla1[[#This Row],[Date]])</f>
        <v>10</v>
      </c>
    </row>
    <row r="441" spans="1:11" x14ac:dyDescent="0.25">
      <c r="A441" s="5">
        <v>45569</v>
      </c>
      <c r="B441" t="s">
        <v>10</v>
      </c>
      <c r="C441">
        <v>5</v>
      </c>
      <c r="E441" t="s">
        <v>11</v>
      </c>
      <c r="F441" t="s">
        <v>86</v>
      </c>
      <c r="G441" t="s">
        <v>70</v>
      </c>
      <c r="H441">
        <f>Tabla1[[#This Row],[Credit]]-Tabla1[[#This Row],[Debit]]</f>
        <v>-5</v>
      </c>
      <c r="I441" t="str">
        <f>TEXT(Tabla1[[#This Row],[Date]],"mmmm")</f>
        <v>octubre</v>
      </c>
      <c r="J441" t="str">
        <f>TEXT(DAY(Tabla1[[#This Row],[Date]]),"dddd")</f>
        <v>miércoles</v>
      </c>
      <c r="K441">
        <f>MONTH(Tabla1[[#This Row],[Date]])</f>
        <v>10</v>
      </c>
    </row>
    <row r="442" spans="1:11" x14ac:dyDescent="0.25">
      <c r="A442" s="5">
        <v>45571</v>
      </c>
      <c r="B442" t="s">
        <v>13</v>
      </c>
      <c r="C442">
        <v>900</v>
      </c>
      <c r="E442" t="s">
        <v>94</v>
      </c>
      <c r="F442" t="s">
        <v>87</v>
      </c>
      <c r="G442" t="s">
        <v>70</v>
      </c>
      <c r="H442">
        <f>Tabla1[[#This Row],[Credit]]-Tabla1[[#This Row],[Debit]]</f>
        <v>-900</v>
      </c>
      <c r="I442" t="str">
        <f>TEXT(Tabla1[[#This Row],[Date]],"mmmm")</f>
        <v>octubre</v>
      </c>
      <c r="J442" t="str">
        <f>TEXT(DAY(Tabla1[[#This Row],[Date]]),"dddd")</f>
        <v>viernes</v>
      </c>
      <c r="K442">
        <f>MONTH(Tabla1[[#This Row],[Date]])</f>
        <v>10</v>
      </c>
    </row>
    <row r="443" spans="1:11" x14ac:dyDescent="0.25">
      <c r="A443" s="5">
        <v>45571</v>
      </c>
      <c r="B443" t="s">
        <v>15</v>
      </c>
      <c r="C443">
        <v>150</v>
      </c>
      <c r="E443" t="s">
        <v>98</v>
      </c>
      <c r="F443" t="s">
        <v>89</v>
      </c>
      <c r="G443" t="s">
        <v>70</v>
      </c>
      <c r="H443">
        <f>Tabla1[[#This Row],[Credit]]-Tabla1[[#This Row],[Debit]]</f>
        <v>-150</v>
      </c>
      <c r="I443" t="str">
        <f>TEXT(Tabla1[[#This Row],[Date]],"mmmm")</f>
        <v>octubre</v>
      </c>
      <c r="J443" t="str">
        <f>TEXT(DAY(Tabla1[[#This Row],[Date]]),"dddd")</f>
        <v>viernes</v>
      </c>
      <c r="K443">
        <f>MONTH(Tabla1[[#This Row],[Date]])</f>
        <v>10</v>
      </c>
    </row>
    <row r="444" spans="1:11" x14ac:dyDescent="0.25">
      <c r="A444" s="5">
        <v>45571</v>
      </c>
      <c r="B444" t="s">
        <v>10</v>
      </c>
      <c r="C444">
        <v>5</v>
      </c>
      <c r="E444" t="s">
        <v>11</v>
      </c>
      <c r="F444" t="s">
        <v>86</v>
      </c>
      <c r="G444" t="s">
        <v>70</v>
      </c>
      <c r="H444">
        <f>Tabla1[[#This Row],[Credit]]-Tabla1[[#This Row],[Debit]]</f>
        <v>-5</v>
      </c>
      <c r="I444" t="str">
        <f>TEXT(Tabla1[[#This Row],[Date]],"mmmm")</f>
        <v>octubre</v>
      </c>
      <c r="J444" t="str">
        <f>TEXT(DAY(Tabla1[[#This Row],[Date]]),"dddd")</f>
        <v>viernes</v>
      </c>
      <c r="K444">
        <f>MONTH(Tabla1[[#This Row],[Date]])</f>
        <v>10</v>
      </c>
    </row>
    <row r="445" spans="1:11" x14ac:dyDescent="0.25">
      <c r="A445" s="5">
        <v>45571</v>
      </c>
      <c r="B445" t="s">
        <v>10</v>
      </c>
      <c r="C445">
        <v>5</v>
      </c>
      <c r="E445" t="s">
        <v>11</v>
      </c>
      <c r="F445" t="s">
        <v>86</v>
      </c>
      <c r="G445" t="s">
        <v>70</v>
      </c>
      <c r="H445">
        <f>Tabla1[[#This Row],[Credit]]-Tabla1[[#This Row],[Debit]]</f>
        <v>-5</v>
      </c>
      <c r="I445" t="str">
        <f>TEXT(Tabla1[[#This Row],[Date]],"mmmm")</f>
        <v>octubre</v>
      </c>
      <c r="J445" t="str">
        <f>TEXT(DAY(Tabla1[[#This Row],[Date]]),"dddd")</f>
        <v>viernes</v>
      </c>
      <c r="K445">
        <f>MONTH(Tabla1[[#This Row],[Date]])</f>
        <v>10</v>
      </c>
    </row>
    <row r="446" spans="1:11" x14ac:dyDescent="0.25">
      <c r="A446" s="5">
        <v>45572</v>
      </c>
      <c r="B446" t="s">
        <v>10</v>
      </c>
      <c r="C446">
        <v>5</v>
      </c>
      <c r="E446" t="s">
        <v>11</v>
      </c>
      <c r="F446" t="s">
        <v>86</v>
      </c>
      <c r="G446" t="s">
        <v>70</v>
      </c>
      <c r="H446">
        <f>Tabla1[[#This Row],[Credit]]-Tabla1[[#This Row],[Debit]]</f>
        <v>-5</v>
      </c>
      <c r="I446" t="str">
        <f>TEXT(Tabla1[[#This Row],[Date]],"mmmm")</f>
        <v>octubre</v>
      </c>
      <c r="J446" t="str">
        <f>TEXT(DAY(Tabla1[[#This Row],[Date]]),"dddd")</f>
        <v>sábado</v>
      </c>
      <c r="K446">
        <f>MONTH(Tabla1[[#This Row],[Date]])</f>
        <v>10</v>
      </c>
    </row>
    <row r="447" spans="1:11" x14ac:dyDescent="0.25">
      <c r="A447" s="5">
        <v>45573</v>
      </c>
      <c r="B447" t="s">
        <v>10</v>
      </c>
      <c r="C447">
        <v>5</v>
      </c>
      <c r="E447" t="s">
        <v>11</v>
      </c>
      <c r="F447" t="s">
        <v>86</v>
      </c>
      <c r="G447" t="s">
        <v>70</v>
      </c>
      <c r="H447">
        <f>Tabla1[[#This Row],[Credit]]-Tabla1[[#This Row],[Debit]]</f>
        <v>-5</v>
      </c>
      <c r="I447" t="str">
        <f>TEXT(Tabla1[[#This Row],[Date]],"mmmm")</f>
        <v>octubre</v>
      </c>
      <c r="J447" t="str">
        <f>TEXT(DAY(Tabla1[[#This Row],[Date]]),"dddd")</f>
        <v>domingo</v>
      </c>
      <c r="K447">
        <f>MONTH(Tabla1[[#This Row],[Date]])</f>
        <v>10</v>
      </c>
    </row>
    <row r="448" spans="1:11" x14ac:dyDescent="0.25">
      <c r="A448" s="5">
        <v>45573</v>
      </c>
      <c r="B448" t="s">
        <v>17</v>
      </c>
      <c r="C448">
        <v>105</v>
      </c>
      <c r="E448" t="s">
        <v>95</v>
      </c>
      <c r="F448" t="s">
        <v>87</v>
      </c>
      <c r="G448" t="s">
        <v>70</v>
      </c>
      <c r="H448">
        <f>Tabla1[[#This Row],[Credit]]-Tabla1[[#This Row],[Debit]]</f>
        <v>-105</v>
      </c>
      <c r="I448" t="str">
        <f>TEXT(Tabla1[[#This Row],[Date]],"mmmm")</f>
        <v>octubre</v>
      </c>
      <c r="J448" t="str">
        <f>TEXT(DAY(Tabla1[[#This Row],[Date]]),"dddd")</f>
        <v>domingo</v>
      </c>
      <c r="K448">
        <f>MONTH(Tabla1[[#This Row],[Date]])</f>
        <v>10</v>
      </c>
    </row>
    <row r="449" spans="1:11" x14ac:dyDescent="0.25">
      <c r="A449" s="5">
        <v>45576</v>
      </c>
      <c r="B449" t="s">
        <v>19</v>
      </c>
      <c r="C449">
        <v>59</v>
      </c>
      <c r="E449" t="s">
        <v>20</v>
      </c>
      <c r="F449" t="s">
        <v>87</v>
      </c>
      <c r="G449" t="s">
        <v>70</v>
      </c>
      <c r="H449">
        <f>Tabla1[[#This Row],[Credit]]-Tabla1[[#This Row],[Debit]]</f>
        <v>-59</v>
      </c>
      <c r="I449" t="str">
        <f>TEXT(Tabla1[[#This Row],[Date]],"mmmm")</f>
        <v>octubre</v>
      </c>
      <c r="J449" t="str">
        <f>TEXT(DAY(Tabla1[[#This Row],[Date]]),"dddd")</f>
        <v>miércoles</v>
      </c>
      <c r="K449">
        <f>MONTH(Tabla1[[#This Row],[Date]])</f>
        <v>10</v>
      </c>
    </row>
    <row r="450" spans="1:11" x14ac:dyDescent="0.25">
      <c r="A450" s="5">
        <v>45576</v>
      </c>
      <c r="B450" t="s">
        <v>10</v>
      </c>
      <c r="C450">
        <v>5</v>
      </c>
      <c r="E450" t="s">
        <v>11</v>
      </c>
      <c r="F450" t="s">
        <v>86</v>
      </c>
      <c r="G450" t="s">
        <v>70</v>
      </c>
      <c r="H450">
        <f>Tabla1[[#This Row],[Credit]]-Tabla1[[#This Row],[Debit]]</f>
        <v>-5</v>
      </c>
      <c r="I450" t="str">
        <f>TEXT(Tabla1[[#This Row],[Date]],"mmmm")</f>
        <v>octubre</v>
      </c>
      <c r="J450" t="str">
        <f>TEXT(DAY(Tabla1[[#This Row],[Date]]),"dddd")</f>
        <v>miércoles</v>
      </c>
      <c r="K450">
        <f>MONTH(Tabla1[[#This Row],[Date]])</f>
        <v>10</v>
      </c>
    </row>
    <row r="451" spans="1:11" x14ac:dyDescent="0.25">
      <c r="A451" s="5">
        <v>45577</v>
      </c>
      <c r="B451" t="s">
        <v>10</v>
      </c>
      <c r="C451">
        <v>5</v>
      </c>
      <c r="E451" t="s">
        <v>11</v>
      </c>
      <c r="F451" t="s">
        <v>86</v>
      </c>
      <c r="G451" t="s">
        <v>70</v>
      </c>
      <c r="H451">
        <f>Tabla1[[#This Row],[Credit]]-Tabla1[[#This Row],[Debit]]</f>
        <v>-5</v>
      </c>
      <c r="I451" t="str">
        <f>TEXT(Tabla1[[#This Row],[Date]],"mmmm")</f>
        <v>octubre</v>
      </c>
      <c r="J451" t="str">
        <f>TEXT(DAY(Tabla1[[#This Row],[Date]]),"dddd")</f>
        <v>jueves</v>
      </c>
      <c r="K451">
        <f>MONTH(Tabla1[[#This Row],[Date]])</f>
        <v>10</v>
      </c>
    </row>
    <row r="452" spans="1:11" x14ac:dyDescent="0.25">
      <c r="A452" s="5">
        <v>45578</v>
      </c>
      <c r="B452" t="s">
        <v>21</v>
      </c>
      <c r="C452">
        <v>86.399999999999977</v>
      </c>
      <c r="E452" t="s">
        <v>96</v>
      </c>
      <c r="F452" t="s">
        <v>89</v>
      </c>
      <c r="G452" t="s">
        <v>70</v>
      </c>
      <c r="H452">
        <f>Tabla1[[#This Row],[Credit]]-Tabla1[[#This Row],[Debit]]</f>
        <v>-86.399999999999977</v>
      </c>
      <c r="I452" t="str">
        <f>TEXT(Tabla1[[#This Row],[Date]],"mmmm")</f>
        <v>octubre</v>
      </c>
      <c r="J452" t="str">
        <f>TEXT(DAY(Tabla1[[#This Row],[Date]]),"dddd")</f>
        <v>viernes</v>
      </c>
      <c r="K452">
        <f>MONTH(Tabla1[[#This Row],[Date]])</f>
        <v>10</v>
      </c>
    </row>
    <row r="453" spans="1:11" x14ac:dyDescent="0.25">
      <c r="A453" s="5">
        <v>45578</v>
      </c>
      <c r="B453" t="s">
        <v>10</v>
      </c>
      <c r="C453">
        <v>5</v>
      </c>
      <c r="E453" t="s">
        <v>11</v>
      </c>
      <c r="F453" t="s">
        <v>86</v>
      </c>
      <c r="G453" t="s">
        <v>70</v>
      </c>
      <c r="H453">
        <f>Tabla1[[#This Row],[Credit]]-Tabla1[[#This Row],[Debit]]</f>
        <v>-5</v>
      </c>
      <c r="I453" t="str">
        <f>TEXT(Tabla1[[#This Row],[Date]],"mmmm")</f>
        <v>octubre</v>
      </c>
      <c r="J453" t="str">
        <f>TEXT(DAY(Tabla1[[#This Row],[Date]]),"dddd")</f>
        <v>viernes</v>
      </c>
      <c r="K453">
        <f>MONTH(Tabla1[[#This Row],[Date]])</f>
        <v>10</v>
      </c>
    </row>
    <row r="454" spans="1:11" x14ac:dyDescent="0.25">
      <c r="A454" s="5">
        <v>45579</v>
      </c>
      <c r="B454" t="s">
        <v>10</v>
      </c>
      <c r="C454">
        <v>5</v>
      </c>
      <c r="E454" t="s">
        <v>11</v>
      </c>
      <c r="F454" t="s">
        <v>86</v>
      </c>
      <c r="G454" t="s">
        <v>70</v>
      </c>
      <c r="H454">
        <f>Tabla1[[#This Row],[Credit]]-Tabla1[[#This Row],[Debit]]</f>
        <v>-5</v>
      </c>
      <c r="I454" t="str">
        <f>TEXT(Tabla1[[#This Row],[Date]],"mmmm")</f>
        <v>octubre</v>
      </c>
      <c r="J454" t="str">
        <f>TEXT(DAY(Tabla1[[#This Row],[Date]]),"dddd")</f>
        <v>sábado</v>
      </c>
      <c r="K454">
        <f>MONTH(Tabla1[[#This Row],[Date]])</f>
        <v>10</v>
      </c>
    </row>
    <row r="455" spans="1:11" x14ac:dyDescent="0.25">
      <c r="A455" s="5">
        <v>45580</v>
      </c>
      <c r="B455" t="s">
        <v>17</v>
      </c>
      <c r="C455">
        <v>143.9</v>
      </c>
      <c r="E455" t="s">
        <v>95</v>
      </c>
      <c r="F455" t="s">
        <v>87</v>
      </c>
      <c r="G455" t="s">
        <v>70</v>
      </c>
      <c r="H455">
        <f>Tabla1[[#This Row],[Credit]]-Tabla1[[#This Row],[Debit]]</f>
        <v>-143.9</v>
      </c>
      <c r="I455" t="str">
        <f>TEXT(Tabla1[[#This Row],[Date]],"mmmm")</f>
        <v>octubre</v>
      </c>
      <c r="J455" t="str">
        <f>TEXT(DAY(Tabla1[[#This Row],[Date]]),"dddd")</f>
        <v>domingo</v>
      </c>
      <c r="K455">
        <f>MONTH(Tabla1[[#This Row],[Date]])</f>
        <v>10</v>
      </c>
    </row>
    <row r="456" spans="1:11" x14ac:dyDescent="0.25">
      <c r="A456" s="5">
        <v>45580</v>
      </c>
      <c r="B456" t="s">
        <v>10</v>
      </c>
      <c r="C456">
        <v>5</v>
      </c>
      <c r="E456" t="s">
        <v>11</v>
      </c>
      <c r="F456" t="s">
        <v>86</v>
      </c>
      <c r="G456" t="s">
        <v>70</v>
      </c>
      <c r="H456">
        <f>Tabla1[[#This Row],[Credit]]-Tabla1[[#This Row],[Debit]]</f>
        <v>-5</v>
      </c>
      <c r="I456" t="str">
        <f>TEXT(Tabla1[[#This Row],[Date]],"mmmm")</f>
        <v>octubre</v>
      </c>
      <c r="J456" t="str">
        <f>TEXT(DAY(Tabla1[[#This Row],[Date]]),"dddd")</f>
        <v>domingo</v>
      </c>
      <c r="K456">
        <f>MONTH(Tabla1[[#This Row],[Date]])</f>
        <v>10</v>
      </c>
    </row>
    <row r="457" spans="1:11" x14ac:dyDescent="0.25">
      <c r="A457" s="5">
        <v>45581</v>
      </c>
      <c r="B457" t="s">
        <v>10</v>
      </c>
      <c r="C457">
        <v>5</v>
      </c>
      <c r="E457" t="s">
        <v>11</v>
      </c>
      <c r="F457" t="s">
        <v>86</v>
      </c>
      <c r="G457" t="s">
        <v>70</v>
      </c>
      <c r="H457">
        <f>Tabla1[[#This Row],[Credit]]-Tabla1[[#This Row],[Debit]]</f>
        <v>-5</v>
      </c>
      <c r="I457" t="str">
        <f>TEXT(Tabla1[[#This Row],[Date]],"mmmm")</f>
        <v>octubre</v>
      </c>
      <c r="J457" t="str">
        <f>TEXT(DAY(Tabla1[[#This Row],[Date]]),"dddd")</f>
        <v>lunes</v>
      </c>
      <c r="K457">
        <f>MONTH(Tabla1[[#This Row],[Date]])</f>
        <v>10</v>
      </c>
    </row>
    <row r="458" spans="1:11" x14ac:dyDescent="0.25">
      <c r="A458" s="5">
        <v>45581</v>
      </c>
      <c r="B458" t="s">
        <v>22</v>
      </c>
      <c r="C458">
        <v>48.8</v>
      </c>
      <c r="E458" t="s">
        <v>23</v>
      </c>
      <c r="F458" t="s">
        <v>91</v>
      </c>
      <c r="G458" t="s">
        <v>70</v>
      </c>
      <c r="H458">
        <f>Tabla1[[#This Row],[Credit]]-Tabla1[[#This Row],[Debit]]</f>
        <v>-48.8</v>
      </c>
      <c r="I458" t="str">
        <f>TEXT(Tabla1[[#This Row],[Date]],"mmmm")</f>
        <v>octubre</v>
      </c>
      <c r="J458" t="str">
        <f>TEXT(DAY(Tabla1[[#This Row],[Date]]),"dddd")</f>
        <v>lunes</v>
      </c>
      <c r="K458">
        <f>MONTH(Tabla1[[#This Row],[Date]])</f>
        <v>10</v>
      </c>
    </row>
    <row r="459" spans="1:11" x14ac:dyDescent="0.25">
      <c r="A459" s="5">
        <v>45581</v>
      </c>
      <c r="B459" t="s">
        <v>24</v>
      </c>
      <c r="C459">
        <v>106.70000000000002</v>
      </c>
      <c r="E459" t="s">
        <v>97</v>
      </c>
      <c r="F459" t="s">
        <v>91</v>
      </c>
      <c r="G459" t="s">
        <v>70</v>
      </c>
      <c r="H459">
        <f>Tabla1[[#This Row],[Credit]]-Tabla1[[#This Row],[Debit]]</f>
        <v>-106.70000000000002</v>
      </c>
      <c r="I459" t="str">
        <f>TEXT(Tabla1[[#This Row],[Date]],"mmmm")</f>
        <v>octubre</v>
      </c>
      <c r="J459" t="str">
        <f>TEXT(DAY(Tabla1[[#This Row],[Date]]),"dddd")</f>
        <v>lunes</v>
      </c>
      <c r="K459">
        <f>MONTH(Tabla1[[#This Row],[Date]])</f>
        <v>10</v>
      </c>
    </row>
    <row r="460" spans="1:11" x14ac:dyDescent="0.25">
      <c r="A460" s="5">
        <v>45581</v>
      </c>
      <c r="B460" t="s">
        <v>26</v>
      </c>
      <c r="C460">
        <v>61.1</v>
      </c>
      <c r="E460" t="s">
        <v>27</v>
      </c>
      <c r="F460" t="s">
        <v>86</v>
      </c>
      <c r="G460" t="s">
        <v>70</v>
      </c>
      <c r="H460">
        <f>Tabla1[[#This Row],[Credit]]-Tabla1[[#This Row],[Debit]]</f>
        <v>-61.1</v>
      </c>
      <c r="I460" t="str">
        <f>TEXT(Tabla1[[#This Row],[Date]],"mmmm")</f>
        <v>octubre</v>
      </c>
      <c r="J460" t="str">
        <f>TEXT(DAY(Tabla1[[#This Row],[Date]]),"dddd")</f>
        <v>lunes</v>
      </c>
      <c r="K460">
        <f>MONTH(Tabla1[[#This Row],[Date]])</f>
        <v>10</v>
      </c>
    </row>
    <row r="461" spans="1:11" x14ac:dyDescent="0.25">
      <c r="A461" s="5">
        <v>45582</v>
      </c>
      <c r="B461" t="s">
        <v>28</v>
      </c>
      <c r="C461">
        <v>37.200000000000003</v>
      </c>
      <c r="E461" t="s">
        <v>29</v>
      </c>
      <c r="F461" t="s">
        <v>89</v>
      </c>
      <c r="G461" t="s">
        <v>70</v>
      </c>
      <c r="H461">
        <f>Tabla1[[#This Row],[Credit]]-Tabla1[[#This Row],[Debit]]</f>
        <v>-37.200000000000003</v>
      </c>
      <c r="I461" t="str">
        <f>TEXT(Tabla1[[#This Row],[Date]],"mmmm")</f>
        <v>octubre</v>
      </c>
      <c r="J461" t="str">
        <f>TEXT(DAY(Tabla1[[#This Row],[Date]]),"dddd")</f>
        <v>martes</v>
      </c>
      <c r="K461">
        <f>MONTH(Tabla1[[#This Row],[Date]])</f>
        <v>10</v>
      </c>
    </row>
    <row r="462" spans="1:11" x14ac:dyDescent="0.25">
      <c r="A462" s="5">
        <v>45583</v>
      </c>
      <c r="B462" t="s">
        <v>30</v>
      </c>
      <c r="D462">
        <v>100</v>
      </c>
      <c r="E462" t="s">
        <v>31</v>
      </c>
      <c r="F462" t="s">
        <v>92</v>
      </c>
      <c r="G462" t="s">
        <v>93</v>
      </c>
      <c r="H462">
        <f>Tabla1[[#This Row],[Credit]]-Tabla1[[#This Row],[Debit]]</f>
        <v>100</v>
      </c>
      <c r="I462" t="str">
        <f>TEXT(Tabla1[[#This Row],[Date]],"mmmm")</f>
        <v>octubre</v>
      </c>
      <c r="J462" t="str">
        <f>TEXT(DAY(Tabla1[[#This Row],[Date]]),"dddd")</f>
        <v>miércoles</v>
      </c>
      <c r="K462">
        <f>MONTH(Tabla1[[#This Row],[Date]])</f>
        <v>10</v>
      </c>
    </row>
    <row r="463" spans="1:11" x14ac:dyDescent="0.25">
      <c r="A463" s="5">
        <v>45583</v>
      </c>
      <c r="B463" t="s">
        <v>10</v>
      </c>
      <c r="C463">
        <v>5</v>
      </c>
      <c r="E463" t="s">
        <v>11</v>
      </c>
      <c r="F463" t="s">
        <v>86</v>
      </c>
      <c r="G463" t="s">
        <v>70</v>
      </c>
      <c r="H463">
        <f>Tabla1[[#This Row],[Credit]]-Tabla1[[#This Row],[Debit]]</f>
        <v>-5</v>
      </c>
      <c r="I463" t="str">
        <f>TEXT(Tabla1[[#This Row],[Date]],"mmmm")</f>
        <v>octubre</v>
      </c>
      <c r="J463" t="str">
        <f>TEXT(DAY(Tabla1[[#This Row],[Date]]),"dddd")</f>
        <v>miércoles</v>
      </c>
      <c r="K463">
        <f>MONTH(Tabla1[[#This Row],[Date]])</f>
        <v>10</v>
      </c>
    </row>
    <row r="464" spans="1:11" x14ac:dyDescent="0.25">
      <c r="A464" s="5">
        <v>45584</v>
      </c>
      <c r="B464" t="s">
        <v>10</v>
      </c>
      <c r="C464">
        <v>5</v>
      </c>
      <c r="E464" t="s">
        <v>11</v>
      </c>
      <c r="F464" t="s">
        <v>86</v>
      </c>
      <c r="G464" t="s">
        <v>70</v>
      </c>
      <c r="H464">
        <f>Tabla1[[#This Row],[Credit]]-Tabla1[[#This Row],[Debit]]</f>
        <v>-5</v>
      </c>
      <c r="I464" t="str">
        <f>TEXT(Tabla1[[#This Row],[Date]],"mmmm")</f>
        <v>octubre</v>
      </c>
      <c r="J464" t="str">
        <f>TEXT(DAY(Tabla1[[#This Row],[Date]]),"dddd")</f>
        <v>jueves</v>
      </c>
      <c r="K464">
        <f>MONTH(Tabla1[[#This Row],[Date]])</f>
        <v>10</v>
      </c>
    </row>
    <row r="465" spans="1:11" x14ac:dyDescent="0.25">
      <c r="A465" s="5">
        <v>45584</v>
      </c>
      <c r="B465" t="s">
        <v>44</v>
      </c>
      <c r="C465">
        <v>75</v>
      </c>
      <c r="E465" t="s">
        <v>45</v>
      </c>
      <c r="F465" t="s">
        <v>88</v>
      </c>
      <c r="G465" t="s">
        <v>70</v>
      </c>
      <c r="H465">
        <f>Tabla1[[#This Row],[Credit]]-Tabla1[[#This Row],[Debit]]</f>
        <v>-75</v>
      </c>
      <c r="I465" t="str">
        <f>TEXT(Tabla1[[#This Row],[Date]],"mmmm")</f>
        <v>octubre</v>
      </c>
      <c r="J465" t="str">
        <f>TEXT(DAY(Tabla1[[#This Row],[Date]]),"dddd")</f>
        <v>jueves</v>
      </c>
      <c r="K465">
        <f>MONTH(Tabla1[[#This Row],[Date]])</f>
        <v>10</v>
      </c>
    </row>
    <row r="466" spans="1:11" x14ac:dyDescent="0.25">
      <c r="A466" s="5">
        <v>45584</v>
      </c>
      <c r="B466" t="s">
        <v>33</v>
      </c>
      <c r="C466">
        <v>40</v>
      </c>
      <c r="E466" t="s">
        <v>33</v>
      </c>
      <c r="F466" t="s">
        <v>87</v>
      </c>
      <c r="G466" t="s">
        <v>70</v>
      </c>
      <c r="H466">
        <f>Tabla1[[#This Row],[Credit]]-Tabla1[[#This Row],[Debit]]</f>
        <v>-40</v>
      </c>
      <c r="I466" t="str">
        <f>TEXT(Tabla1[[#This Row],[Date]],"mmmm")</f>
        <v>octubre</v>
      </c>
      <c r="J466" t="str">
        <f>TEXT(DAY(Tabla1[[#This Row],[Date]]),"dddd")</f>
        <v>jueves</v>
      </c>
      <c r="K466">
        <f>MONTH(Tabla1[[#This Row],[Date]])</f>
        <v>10</v>
      </c>
    </row>
    <row r="467" spans="1:11" x14ac:dyDescent="0.25">
      <c r="A467" s="5">
        <v>45585</v>
      </c>
      <c r="B467" t="s">
        <v>34</v>
      </c>
      <c r="C467">
        <v>54.1</v>
      </c>
      <c r="E467" t="s">
        <v>35</v>
      </c>
      <c r="F467" t="s">
        <v>91</v>
      </c>
      <c r="G467" t="s">
        <v>70</v>
      </c>
      <c r="H467">
        <f>Tabla1[[#This Row],[Credit]]-Tabla1[[#This Row],[Debit]]</f>
        <v>-54.1</v>
      </c>
      <c r="I467" t="str">
        <f>TEXT(Tabla1[[#This Row],[Date]],"mmmm")</f>
        <v>octubre</v>
      </c>
      <c r="J467" t="str">
        <f>TEXT(DAY(Tabla1[[#This Row],[Date]]),"dddd")</f>
        <v>viernes</v>
      </c>
      <c r="K467">
        <f>MONTH(Tabla1[[#This Row],[Date]])</f>
        <v>10</v>
      </c>
    </row>
    <row r="468" spans="1:11" x14ac:dyDescent="0.25">
      <c r="A468" s="5">
        <v>45585</v>
      </c>
      <c r="B468" t="s">
        <v>36</v>
      </c>
      <c r="C468">
        <v>35</v>
      </c>
      <c r="E468" t="s">
        <v>23</v>
      </c>
      <c r="F468" t="s">
        <v>91</v>
      </c>
      <c r="G468" t="s">
        <v>70</v>
      </c>
      <c r="H468">
        <f>Tabla1[[#This Row],[Credit]]-Tabla1[[#This Row],[Debit]]</f>
        <v>-35</v>
      </c>
      <c r="I468" t="str">
        <f>TEXT(Tabla1[[#This Row],[Date]],"mmmm")</f>
        <v>octubre</v>
      </c>
      <c r="J468" t="str">
        <f>TEXT(DAY(Tabla1[[#This Row],[Date]]),"dddd")</f>
        <v>viernes</v>
      </c>
      <c r="K468">
        <f>MONTH(Tabla1[[#This Row],[Date]])</f>
        <v>10</v>
      </c>
    </row>
    <row r="469" spans="1:11" x14ac:dyDescent="0.25">
      <c r="A469" s="5">
        <v>45585</v>
      </c>
      <c r="B469" t="s">
        <v>10</v>
      </c>
      <c r="C469">
        <v>5</v>
      </c>
      <c r="E469" t="s">
        <v>11</v>
      </c>
      <c r="F469" t="s">
        <v>86</v>
      </c>
      <c r="G469" t="s">
        <v>70</v>
      </c>
      <c r="H469">
        <f>Tabla1[[#This Row],[Credit]]-Tabla1[[#This Row],[Debit]]</f>
        <v>-5</v>
      </c>
      <c r="I469" t="str">
        <f>TEXT(Tabla1[[#This Row],[Date]],"mmmm")</f>
        <v>octubre</v>
      </c>
      <c r="J469" t="str">
        <f>TEXT(DAY(Tabla1[[#This Row],[Date]]),"dddd")</f>
        <v>viernes</v>
      </c>
      <c r="K469">
        <f>MONTH(Tabla1[[#This Row],[Date]])</f>
        <v>10</v>
      </c>
    </row>
    <row r="470" spans="1:11" x14ac:dyDescent="0.25">
      <c r="A470" s="5">
        <v>45586</v>
      </c>
      <c r="B470" t="s">
        <v>10</v>
      </c>
      <c r="C470">
        <v>5</v>
      </c>
      <c r="E470" t="s">
        <v>11</v>
      </c>
      <c r="F470" t="s">
        <v>86</v>
      </c>
      <c r="G470" t="s">
        <v>70</v>
      </c>
      <c r="H470">
        <f>Tabla1[[#This Row],[Credit]]-Tabla1[[#This Row],[Debit]]</f>
        <v>-5</v>
      </c>
      <c r="I470" t="str">
        <f>TEXT(Tabla1[[#This Row],[Date]],"mmmm")</f>
        <v>octubre</v>
      </c>
      <c r="J470" t="str">
        <f>TEXT(DAY(Tabla1[[#This Row],[Date]]),"dddd")</f>
        <v>sábado</v>
      </c>
      <c r="K470">
        <f>MONTH(Tabla1[[#This Row],[Date]])</f>
        <v>10</v>
      </c>
    </row>
    <row r="471" spans="1:11" x14ac:dyDescent="0.25">
      <c r="A471" s="5">
        <v>45587</v>
      </c>
      <c r="B471" t="s">
        <v>10</v>
      </c>
      <c r="C471">
        <v>5</v>
      </c>
      <c r="E471" t="s">
        <v>11</v>
      </c>
      <c r="F471" t="s">
        <v>86</v>
      </c>
      <c r="G471" t="s">
        <v>70</v>
      </c>
      <c r="H471">
        <f>Tabla1[[#This Row],[Credit]]-Tabla1[[#This Row],[Debit]]</f>
        <v>-5</v>
      </c>
      <c r="I471" t="str">
        <f>TEXT(Tabla1[[#This Row],[Date]],"mmmm")</f>
        <v>octubre</v>
      </c>
      <c r="J471" t="str">
        <f>TEXT(DAY(Tabla1[[#This Row],[Date]]),"dddd")</f>
        <v>domingo</v>
      </c>
      <c r="K471">
        <f>MONTH(Tabla1[[#This Row],[Date]])</f>
        <v>10</v>
      </c>
    </row>
    <row r="472" spans="1:11" x14ac:dyDescent="0.25">
      <c r="A472" s="5">
        <v>45587</v>
      </c>
      <c r="B472" t="s">
        <v>17</v>
      </c>
      <c r="C472">
        <v>178.9</v>
      </c>
      <c r="E472" t="s">
        <v>95</v>
      </c>
      <c r="F472" t="s">
        <v>87</v>
      </c>
      <c r="G472" t="s">
        <v>70</v>
      </c>
      <c r="H472">
        <f>Tabla1[[#This Row],[Credit]]-Tabla1[[#This Row],[Debit]]</f>
        <v>-178.9</v>
      </c>
      <c r="I472" t="str">
        <f>TEXT(Tabla1[[#This Row],[Date]],"mmmm")</f>
        <v>octubre</v>
      </c>
      <c r="J472" t="str">
        <f>TEXT(DAY(Tabla1[[#This Row],[Date]]),"dddd")</f>
        <v>domingo</v>
      </c>
      <c r="K472">
        <f>MONTH(Tabla1[[#This Row],[Date]])</f>
        <v>10</v>
      </c>
    </row>
    <row r="473" spans="1:11" x14ac:dyDescent="0.25">
      <c r="A473" s="5">
        <v>45588</v>
      </c>
      <c r="B473" t="s">
        <v>37</v>
      </c>
      <c r="C473">
        <v>46.2</v>
      </c>
      <c r="E473" t="s">
        <v>27</v>
      </c>
      <c r="F473" t="s">
        <v>86</v>
      </c>
      <c r="G473" t="s">
        <v>70</v>
      </c>
      <c r="H473">
        <f>Tabla1[[#This Row],[Credit]]-Tabla1[[#This Row],[Debit]]</f>
        <v>-46.2</v>
      </c>
      <c r="I473" t="str">
        <f>TEXT(Tabla1[[#This Row],[Date]],"mmmm")</f>
        <v>octubre</v>
      </c>
      <c r="J473" t="str">
        <f>TEXT(DAY(Tabla1[[#This Row],[Date]]),"dddd")</f>
        <v>lunes</v>
      </c>
      <c r="K473">
        <f>MONTH(Tabla1[[#This Row],[Date]])</f>
        <v>10</v>
      </c>
    </row>
    <row r="474" spans="1:11" x14ac:dyDescent="0.25">
      <c r="A474" s="5">
        <v>45589</v>
      </c>
      <c r="B474" t="s">
        <v>38</v>
      </c>
      <c r="C474">
        <v>21.099999999999998</v>
      </c>
      <c r="E474" t="s">
        <v>27</v>
      </c>
      <c r="F474" t="s">
        <v>86</v>
      </c>
      <c r="G474" t="s">
        <v>70</v>
      </c>
      <c r="H474">
        <f>Tabla1[[#This Row],[Credit]]-Tabla1[[#This Row],[Debit]]</f>
        <v>-21.099999999999998</v>
      </c>
      <c r="I474" t="str">
        <f>TEXT(Tabla1[[#This Row],[Date]],"mmmm")</f>
        <v>octubre</v>
      </c>
      <c r="J474" t="str">
        <f>TEXT(DAY(Tabla1[[#This Row],[Date]]),"dddd")</f>
        <v>martes</v>
      </c>
      <c r="K474">
        <f>MONTH(Tabla1[[#This Row],[Date]])</f>
        <v>10</v>
      </c>
    </row>
    <row r="475" spans="1:11" x14ac:dyDescent="0.25">
      <c r="A475" s="5">
        <v>45590</v>
      </c>
      <c r="B475" t="s">
        <v>39</v>
      </c>
      <c r="C475">
        <v>55</v>
      </c>
      <c r="E475" t="s">
        <v>40</v>
      </c>
      <c r="F475" t="s">
        <v>85</v>
      </c>
      <c r="G475" t="s">
        <v>70</v>
      </c>
      <c r="H475">
        <f>Tabla1[[#This Row],[Credit]]-Tabla1[[#This Row],[Debit]]</f>
        <v>-55</v>
      </c>
      <c r="I475" t="str">
        <f>TEXT(Tabla1[[#This Row],[Date]],"mmmm")</f>
        <v>octubre</v>
      </c>
      <c r="J475" t="str">
        <f>TEXT(DAY(Tabla1[[#This Row],[Date]]),"dddd")</f>
        <v>miércoles</v>
      </c>
      <c r="K475">
        <f>MONTH(Tabla1[[#This Row],[Date]])</f>
        <v>10</v>
      </c>
    </row>
    <row r="476" spans="1:11" x14ac:dyDescent="0.25">
      <c r="A476" s="5">
        <v>45590</v>
      </c>
      <c r="B476" t="s">
        <v>21</v>
      </c>
      <c r="C476">
        <v>71.500000000000028</v>
      </c>
      <c r="E476" t="s">
        <v>96</v>
      </c>
      <c r="F476" t="s">
        <v>89</v>
      </c>
      <c r="G476" t="s">
        <v>70</v>
      </c>
      <c r="H476">
        <f>Tabla1[[#This Row],[Credit]]-Tabla1[[#This Row],[Debit]]</f>
        <v>-71.500000000000028</v>
      </c>
      <c r="I476" t="str">
        <f>TEXT(Tabla1[[#This Row],[Date]],"mmmm")</f>
        <v>octubre</v>
      </c>
      <c r="J476" t="str">
        <f>TEXT(DAY(Tabla1[[#This Row],[Date]]),"dddd")</f>
        <v>miércoles</v>
      </c>
      <c r="K476">
        <f>MONTH(Tabla1[[#This Row],[Date]])</f>
        <v>10</v>
      </c>
    </row>
    <row r="477" spans="1:11" x14ac:dyDescent="0.25">
      <c r="A477" s="5">
        <v>45590</v>
      </c>
      <c r="B477" t="s">
        <v>10</v>
      </c>
      <c r="C477">
        <v>5</v>
      </c>
      <c r="E477" t="s">
        <v>11</v>
      </c>
      <c r="F477" t="s">
        <v>86</v>
      </c>
      <c r="G477" t="s">
        <v>70</v>
      </c>
      <c r="H477">
        <f>Tabla1[[#This Row],[Credit]]-Tabla1[[#This Row],[Debit]]</f>
        <v>-5</v>
      </c>
      <c r="I477" t="str">
        <f>TEXT(Tabla1[[#This Row],[Date]],"mmmm")</f>
        <v>octubre</v>
      </c>
      <c r="J477" t="str">
        <f>TEXT(DAY(Tabla1[[#This Row],[Date]]),"dddd")</f>
        <v>miércoles</v>
      </c>
      <c r="K477">
        <f>MONTH(Tabla1[[#This Row],[Date]])</f>
        <v>10</v>
      </c>
    </row>
    <row r="478" spans="1:11" x14ac:dyDescent="0.25">
      <c r="A478" s="5">
        <v>45591</v>
      </c>
      <c r="B478" t="s">
        <v>10</v>
      </c>
      <c r="C478">
        <v>5</v>
      </c>
      <c r="E478" t="s">
        <v>11</v>
      </c>
      <c r="F478" t="s">
        <v>86</v>
      </c>
      <c r="G478" t="s">
        <v>70</v>
      </c>
      <c r="H478">
        <f>Tabla1[[#This Row],[Credit]]-Tabla1[[#This Row],[Debit]]</f>
        <v>-5</v>
      </c>
      <c r="I478" t="str">
        <f>TEXT(Tabla1[[#This Row],[Date]],"mmmm")</f>
        <v>octubre</v>
      </c>
      <c r="J478" t="str">
        <f>TEXT(DAY(Tabla1[[#This Row],[Date]]),"dddd")</f>
        <v>jueves</v>
      </c>
      <c r="K478">
        <f>MONTH(Tabla1[[#This Row],[Date]])</f>
        <v>10</v>
      </c>
    </row>
    <row r="479" spans="1:11" x14ac:dyDescent="0.25">
      <c r="A479" s="5">
        <v>45592</v>
      </c>
      <c r="B479" t="s">
        <v>10</v>
      </c>
      <c r="C479">
        <v>5</v>
      </c>
      <c r="E479" t="s">
        <v>11</v>
      </c>
      <c r="F479" t="s">
        <v>86</v>
      </c>
      <c r="G479" t="s">
        <v>70</v>
      </c>
      <c r="H479">
        <f>Tabla1[[#This Row],[Credit]]-Tabla1[[#This Row],[Debit]]</f>
        <v>-5</v>
      </c>
      <c r="I479" t="str">
        <f>TEXT(Tabla1[[#This Row],[Date]],"mmmm")</f>
        <v>octubre</v>
      </c>
      <c r="J479" t="str">
        <f>TEXT(DAY(Tabla1[[#This Row],[Date]]),"dddd")</f>
        <v>viernes</v>
      </c>
      <c r="K479">
        <f>MONTH(Tabla1[[#This Row],[Date]])</f>
        <v>10</v>
      </c>
    </row>
    <row r="480" spans="1:11" x14ac:dyDescent="0.25">
      <c r="A480" s="5">
        <v>45593</v>
      </c>
      <c r="B480" t="s">
        <v>10</v>
      </c>
      <c r="C480">
        <v>5</v>
      </c>
      <c r="E480" t="s">
        <v>11</v>
      </c>
      <c r="F480" t="s">
        <v>86</v>
      </c>
      <c r="G480" t="s">
        <v>70</v>
      </c>
      <c r="H480">
        <f>Tabla1[[#This Row],[Credit]]-Tabla1[[#This Row],[Debit]]</f>
        <v>-5</v>
      </c>
      <c r="I480" t="str">
        <f>TEXT(Tabla1[[#This Row],[Date]],"mmmm")</f>
        <v>octubre</v>
      </c>
      <c r="J480" t="str">
        <f>TEXT(DAY(Tabla1[[#This Row],[Date]]),"dddd")</f>
        <v>sábado</v>
      </c>
      <c r="K480">
        <f>MONTH(Tabla1[[#This Row],[Date]])</f>
        <v>10</v>
      </c>
    </row>
    <row r="481" spans="1:11" x14ac:dyDescent="0.25">
      <c r="A481" s="5">
        <v>45594</v>
      </c>
      <c r="B481" t="s">
        <v>10</v>
      </c>
      <c r="C481">
        <v>5</v>
      </c>
      <c r="E481" t="s">
        <v>11</v>
      </c>
      <c r="F481" t="s">
        <v>86</v>
      </c>
      <c r="G481" t="s">
        <v>70</v>
      </c>
      <c r="H481">
        <f>Tabla1[[#This Row],[Credit]]-Tabla1[[#This Row],[Debit]]</f>
        <v>-5</v>
      </c>
      <c r="I481" t="str">
        <f>TEXT(Tabla1[[#This Row],[Date]],"mmmm")</f>
        <v>octubre</v>
      </c>
      <c r="J481" t="str">
        <f>TEXT(DAY(Tabla1[[#This Row],[Date]]),"dddd")</f>
        <v>domingo</v>
      </c>
      <c r="K481">
        <f>MONTH(Tabla1[[#This Row],[Date]])</f>
        <v>10</v>
      </c>
    </row>
    <row r="482" spans="1:11" x14ac:dyDescent="0.25">
      <c r="A482" s="5">
        <v>45594</v>
      </c>
      <c r="B482" t="s">
        <v>17</v>
      </c>
      <c r="C482">
        <v>189</v>
      </c>
      <c r="E482" t="s">
        <v>95</v>
      </c>
      <c r="F482" t="s">
        <v>87</v>
      </c>
      <c r="G482" t="s">
        <v>70</v>
      </c>
      <c r="H482">
        <f>Tabla1[[#This Row],[Credit]]-Tabla1[[#This Row],[Debit]]</f>
        <v>-189</v>
      </c>
      <c r="I482" t="str">
        <f>TEXT(Tabla1[[#This Row],[Date]],"mmmm")</f>
        <v>octubre</v>
      </c>
      <c r="J482" t="str">
        <f>TEXT(DAY(Tabla1[[#This Row],[Date]]),"dddd")</f>
        <v>domingo</v>
      </c>
      <c r="K482">
        <f>MONTH(Tabla1[[#This Row],[Date]])</f>
        <v>10</v>
      </c>
    </row>
    <row r="483" spans="1:11" x14ac:dyDescent="0.25">
      <c r="A483" s="5">
        <v>45595</v>
      </c>
      <c r="B483" t="s">
        <v>41</v>
      </c>
      <c r="C483">
        <v>133.80000000000001</v>
      </c>
      <c r="E483" t="s">
        <v>97</v>
      </c>
      <c r="F483" t="s">
        <v>91</v>
      </c>
      <c r="G483" t="s">
        <v>70</v>
      </c>
      <c r="H483">
        <f>Tabla1[[#This Row],[Credit]]-Tabla1[[#This Row],[Debit]]</f>
        <v>-133.80000000000001</v>
      </c>
      <c r="I483" t="str">
        <f>TEXT(Tabla1[[#This Row],[Date]],"mmmm")</f>
        <v>octubre</v>
      </c>
      <c r="J483" t="str">
        <f>TEXT(DAY(Tabla1[[#This Row],[Date]]),"dddd")</f>
        <v>lunes</v>
      </c>
      <c r="K483">
        <f>MONTH(Tabla1[[#This Row],[Date]])</f>
        <v>10</v>
      </c>
    </row>
    <row r="484" spans="1:11" x14ac:dyDescent="0.25">
      <c r="A484" s="5">
        <v>45595</v>
      </c>
      <c r="B484" t="s">
        <v>42</v>
      </c>
      <c r="C484">
        <v>184.39999999999998</v>
      </c>
      <c r="E484" t="s">
        <v>23</v>
      </c>
      <c r="F484" t="s">
        <v>91</v>
      </c>
      <c r="G484" t="s">
        <v>70</v>
      </c>
      <c r="H484">
        <f>Tabla1[[#This Row],[Credit]]-Tabla1[[#This Row],[Debit]]</f>
        <v>-184.39999999999998</v>
      </c>
      <c r="I484" t="str">
        <f>TEXT(Tabla1[[#This Row],[Date]],"mmmm")</f>
        <v>octubre</v>
      </c>
      <c r="J484" t="str">
        <f>TEXT(DAY(Tabla1[[#This Row],[Date]]),"dddd")</f>
        <v>lunes</v>
      </c>
      <c r="K484">
        <f>MONTH(Tabla1[[#This Row],[Date]])</f>
        <v>10</v>
      </c>
    </row>
    <row r="485" spans="1:11" x14ac:dyDescent="0.25">
      <c r="A485" s="5">
        <v>45596</v>
      </c>
      <c r="B485" t="s">
        <v>24</v>
      </c>
      <c r="C485">
        <v>154.49999999999997</v>
      </c>
      <c r="E485" t="s">
        <v>97</v>
      </c>
      <c r="F485" t="s">
        <v>91</v>
      </c>
      <c r="G485" t="s">
        <v>70</v>
      </c>
      <c r="H485">
        <f>Tabla1[[#This Row],[Credit]]-Tabla1[[#This Row],[Debit]]</f>
        <v>-154.49999999999997</v>
      </c>
      <c r="I485" t="str">
        <f>TEXT(Tabla1[[#This Row],[Date]],"mmmm")</f>
        <v>octubre</v>
      </c>
      <c r="J485" t="str">
        <f>TEXT(DAY(Tabla1[[#This Row],[Date]]),"dddd")</f>
        <v>martes</v>
      </c>
      <c r="K485">
        <f>MONTH(Tabla1[[#This Row],[Date]])</f>
        <v>10</v>
      </c>
    </row>
    <row r="486" spans="1:11" x14ac:dyDescent="0.25">
      <c r="A486" s="5">
        <v>45596</v>
      </c>
      <c r="B486" t="s">
        <v>28</v>
      </c>
      <c r="C486">
        <v>32.1</v>
      </c>
      <c r="E486" t="s">
        <v>29</v>
      </c>
      <c r="F486" t="s">
        <v>89</v>
      </c>
      <c r="G486" t="s">
        <v>70</v>
      </c>
      <c r="H486">
        <f>Tabla1[[#This Row],[Credit]]-Tabla1[[#This Row],[Debit]]</f>
        <v>-32.1</v>
      </c>
      <c r="I486" t="str">
        <f>TEXT(Tabla1[[#This Row],[Date]],"mmmm")</f>
        <v>octubre</v>
      </c>
      <c r="J486" t="str">
        <f>TEXT(DAY(Tabla1[[#This Row],[Date]]),"dddd")</f>
        <v>martes</v>
      </c>
      <c r="K486">
        <f>MONTH(Tabla1[[#This Row],[Date]])</f>
        <v>10</v>
      </c>
    </row>
    <row r="487" spans="1:11" x14ac:dyDescent="0.25">
      <c r="A487" s="5">
        <v>45596</v>
      </c>
      <c r="B487" t="s">
        <v>47</v>
      </c>
      <c r="C487">
        <v>15</v>
      </c>
      <c r="E487" t="s">
        <v>27</v>
      </c>
      <c r="F487" t="s">
        <v>86</v>
      </c>
      <c r="G487" t="s">
        <v>70</v>
      </c>
      <c r="H487">
        <f>Tabla1[[#This Row],[Credit]]-Tabla1[[#This Row],[Debit]]</f>
        <v>-15</v>
      </c>
      <c r="I487" t="str">
        <f>TEXT(Tabla1[[#This Row],[Date]],"mmmm")</f>
        <v>octubre</v>
      </c>
      <c r="J487" t="str">
        <f>TEXT(DAY(Tabla1[[#This Row],[Date]]),"dddd")</f>
        <v>martes</v>
      </c>
      <c r="K487">
        <f>MONTH(Tabla1[[#This Row],[Date]])</f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9B451-201B-4D87-9864-A0F337011BCD}">
  <sheetPr codeName="Hoja2"/>
  <dimension ref="B1:AW277"/>
  <sheetViews>
    <sheetView topLeftCell="B1" workbookViewId="0">
      <selection activeCell="J5" sqref="J5"/>
    </sheetView>
  </sheetViews>
  <sheetFormatPr baseColWidth="10" defaultRowHeight="15" x14ac:dyDescent="0.25"/>
  <cols>
    <col min="2" max="2" width="17.85546875" bestFit="1" customWidth="1"/>
    <col min="3" max="3" width="19" bestFit="1" customWidth="1"/>
    <col min="5" max="5" width="14.7109375" bestFit="1" customWidth="1"/>
    <col min="7" max="7" width="22" bestFit="1" customWidth="1"/>
    <col min="8" max="8" width="16.28515625" bestFit="1" customWidth="1"/>
    <col min="10" max="10" width="17.85546875" bestFit="1" customWidth="1"/>
    <col min="11" max="11" width="14.140625" bestFit="1" customWidth="1"/>
    <col min="13" max="13" width="14.85546875" bestFit="1" customWidth="1"/>
    <col min="14" max="14" width="14.140625" bestFit="1" customWidth="1"/>
    <col min="15" max="15" width="16.28515625" bestFit="1" customWidth="1"/>
    <col min="17" max="17" width="17.85546875" bestFit="1" customWidth="1"/>
    <col min="18" max="18" width="16.28515625" bestFit="1" customWidth="1"/>
    <col min="20" max="20" width="17.85546875" bestFit="1" customWidth="1"/>
    <col min="21" max="21" width="22.85546875" bestFit="1" customWidth="1"/>
    <col min="22" max="22" width="9" bestFit="1" customWidth="1"/>
    <col min="23" max="23" width="10.7109375" bestFit="1" customWidth="1"/>
    <col min="24" max="24" width="12.28515625" bestFit="1" customWidth="1"/>
    <col min="25" max="25" width="9.140625" bestFit="1" customWidth="1"/>
    <col min="26" max="26" width="8" bestFit="1" customWidth="1"/>
    <col min="27" max="27" width="12.5703125" bestFit="1" customWidth="1"/>
    <col min="29" max="29" width="22" bestFit="1" customWidth="1"/>
    <col min="30" max="30" width="14.140625" bestFit="1" customWidth="1"/>
    <col min="31" max="31" width="13.140625" bestFit="1" customWidth="1"/>
    <col min="32" max="32" width="9.5703125" bestFit="1" customWidth="1"/>
    <col min="33" max="33" width="17.85546875" bestFit="1" customWidth="1"/>
    <col min="34" max="34" width="14.140625" bestFit="1" customWidth="1"/>
    <col min="35" max="35" width="8" bestFit="1" customWidth="1"/>
    <col min="37" max="37" width="17.85546875" bestFit="1" customWidth="1"/>
    <col min="38" max="38" width="16.28515625" bestFit="1" customWidth="1"/>
    <col min="39" max="39" width="16.28515625" customWidth="1"/>
    <col min="40" max="41" width="17.85546875" bestFit="1" customWidth="1"/>
    <col min="42" max="42" width="15.85546875" bestFit="1" customWidth="1"/>
    <col min="45" max="45" width="17.85546875" bestFit="1" customWidth="1"/>
  </cols>
  <sheetData>
    <row r="1" spans="2:49" x14ac:dyDescent="0.25">
      <c r="AC1" t="s">
        <v>69</v>
      </c>
    </row>
    <row r="2" spans="2:49" x14ac:dyDescent="0.25">
      <c r="J2" s="3" t="s">
        <v>6</v>
      </c>
      <c r="K2" t="s">
        <v>12</v>
      </c>
      <c r="Q2" s="3" t="s">
        <v>6</v>
      </c>
      <c r="R2" t="s">
        <v>9</v>
      </c>
      <c r="T2" s="3" t="s">
        <v>6</v>
      </c>
      <c r="U2" t="s">
        <v>12</v>
      </c>
      <c r="AC2" s="3" t="s">
        <v>6</v>
      </c>
      <c r="AD2" t="s">
        <v>12</v>
      </c>
    </row>
    <row r="3" spans="2:49" x14ac:dyDescent="0.25">
      <c r="AG3" t="s">
        <v>70</v>
      </c>
      <c r="AO3">
        <v>1</v>
      </c>
    </row>
    <row r="4" spans="2:49" x14ac:dyDescent="0.25">
      <c r="B4" s="3" t="s">
        <v>52</v>
      </c>
      <c r="G4" s="3" t="s">
        <v>5</v>
      </c>
      <c r="H4" t="s">
        <v>55</v>
      </c>
      <c r="J4" s="3" t="s">
        <v>52</v>
      </c>
      <c r="K4" t="s">
        <v>56</v>
      </c>
      <c r="M4" t="s">
        <v>57</v>
      </c>
      <c r="N4" t="s">
        <v>56</v>
      </c>
      <c r="O4" t="s">
        <v>55</v>
      </c>
      <c r="Q4" s="3" t="s">
        <v>52</v>
      </c>
      <c r="R4" t="s">
        <v>55</v>
      </c>
      <c r="T4" s="3" t="s">
        <v>56</v>
      </c>
      <c r="U4" s="3" t="s">
        <v>68</v>
      </c>
      <c r="AC4" s="3" t="s">
        <v>52</v>
      </c>
      <c r="AD4" t="s">
        <v>56</v>
      </c>
      <c r="AG4" s="3" t="s">
        <v>52</v>
      </c>
      <c r="AH4" t="s">
        <v>56</v>
      </c>
      <c r="AK4" s="3" t="s">
        <v>52</v>
      </c>
      <c r="AL4" t="s">
        <v>55</v>
      </c>
      <c r="AO4" s="9" t="s">
        <v>52</v>
      </c>
      <c r="AP4" t="str">
        <f>IF($AO$3=1,AH4,AL4)</f>
        <v>Suma de Debit</v>
      </c>
      <c r="AS4" s="3" t="s">
        <v>52</v>
      </c>
    </row>
    <row r="5" spans="2:49" x14ac:dyDescent="0.25">
      <c r="B5" s="6">
        <v>45295</v>
      </c>
      <c r="E5" s="5">
        <f>MIN(B5:B277)</f>
        <v>45295</v>
      </c>
      <c r="G5" t="s">
        <v>90</v>
      </c>
      <c r="H5" s="7">
        <v>50000</v>
      </c>
      <c r="J5" s="4" t="s">
        <v>16</v>
      </c>
      <c r="K5" s="8">
        <v>150</v>
      </c>
      <c r="M5" s="7">
        <v>6000</v>
      </c>
      <c r="N5" s="7">
        <v>3116.1000000000004</v>
      </c>
      <c r="O5" s="7">
        <v>2883.8999999999996</v>
      </c>
      <c r="Q5" s="4" t="s">
        <v>60</v>
      </c>
      <c r="R5" s="7">
        <v>50000</v>
      </c>
      <c r="T5" s="3" t="s">
        <v>52</v>
      </c>
      <c r="U5" t="s">
        <v>87</v>
      </c>
      <c r="V5" t="s">
        <v>91</v>
      </c>
      <c r="W5" t="s">
        <v>89</v>
      </c>
      <c r="X5" t="s">
        <v>86</v>
      </c>
      <c r="Y5" t="s">
        <v>88</v>
      </c>
      <c r="Z5" t="s">
        <v>85</v>
      </c>
      <c r="AC5" s="4" t="s">
        <v>87</v>
      </c>
      <c r="AD5" s="7">
        <v>1643</v>
      </c>
      <c r="AG5" s="4" t="s">
        <v>73</v>
      </c>
      <c r="AH5" s="7">
        <v>2874</v>
      </c>
      <c r="AK5" s="4" t="s">
        <v>73</v>
      </c>
      <c r="AL5" s="7">
        <v>11126</v>
      </c>
      <c r="AM5" s="7"/>
      <c r="AO5" s="4" t="s">
        <v>73</v>
      </c>
      <c r="AP5">
        <f t="shared" ref="AP5:AP14" si="0">IF($AO$3=1,AH5,AL5)</f>
        <v>2874</v>
      </c>
      <c r="AS5" s="4">
        <v>5</v>
      </c>
      <c r="AU5">
        <v>1</v>
      </c>
      <c r="AV5" s="4" t="s">
        <v>73</v>
      </c>
      <c r="AW5" t="s">
        <v>72</v>
      </c>
    </row>
    <row r="6" spans="2:49" x14ac:dyDescent="0.25">
      <c r="B6" s="6">
        <v>45296</v>
      </c>
      <c r="E6" s="5">
        <f>MAX(B5:B277)</f>
        <v>45596</v>
      </c>
      <c r="G6" t="s">
        <v>92</v>
      </c>
      <c r="H6" s="7">
        <v>15440</v>
      </c>
      <c r="J6" s="4" t="s">
        <v>25</v>
      </c>
      <c r="K6" s="8">
        <v>379.8</v>
      </c>
      <c r="Q6" s="4" t="s">
        <v>32</v>
      </c>
      <c r="R6" s="7">
        <v>4500</v>
      </c>
      <c r="T6" s="4" t="s">
        <v>66</v>
      </c>
      <c r="U6" s="7">
        <v>54.1</v>
      </c>
      <c r="V6" s="7"/>
      <c r="W6" s="7">
        <v>67</v>
      </c>
      <c r="X6" s="7">
        <v>25</v>
      </c>
      <c r="Y6" s="7"/>
      <c r="Z6" s="7">
        <v>55</v>
      </c>
      <c r="AC6" s="4" t="s">
        <v>91</v>
      </c>
      <c r="AD6" s="7">
        <v>742.69999999999993</v>
      </c>
      <c r="AG6" s="4" t="s">
        <v>74</v>
      </c>
      <c r="AH6" s="7">
        <v>2904.6000000000004</v>
      </c>
      <c r="AK6" s="4" t="s">
        <v>74</v>
      </c>
      <c r="AL6" s="7">
        <v>2895.3999999999996</v>
      </c>
      <c r="AM6" s="7"/>
      <c r="AO6" s="4" t="s">
        <v>74</v>
      </c>
      <c r="AP6">
        <f t="shared" si="0"/>
        <v>2904.6000000000004</v>
      </c>
      <c r="AU6">
        <v>2</v>
      </c>
      <c r="AV6" s="4" t="s">
        <v>74</v>
      </c>
      <c r="AW6" t="str">
        <f>IF(COUNTA(AS5:AS16)=1,VLOOKUP(AS5,AU5:AV16,2,0),"Varios meses seleccionados")</f>
        <v>mayo</v>
      </c>
    </row>
    <row r="7" spans="2:49" x14ac:dyDescent="0.25">
      <c r="B7" s="6">
        <v>45297</v>
      </c>
      <c r="G7" t="s">
        <v>88</v>
      </c>
      <c r="H7" s="7">
        <v>-225</v>
      </c>
      <c r="J7" s="4" t="s">
        <v>50</v>
      </c>
      <c r="K7" s="8">
        <v>235</v>
      </c>
      <c r="Q7" s="4" t="s">
        <v>31</v>
      </c>
      <c r="R7" s="7">
        <v>10940</v>
      </c>
      <c r="T7" s="4" t="s">
        <v>67</v>
      </c>
      <c r="U7" s="7">
        <v>940</v>
      </c>
      <c r="V7" s="7"/>
      <c r="W7" s="7">
        <v>150</v>
      </c>
      <c r="X7" s="7">
        <v>40</v>
      </c>
      <c r="Y7" s="7">
        <v>75</v>
      </c>
      <c r="Z7" s="7"/>
      <c r="AC7" s="4" t="s">
        <v>89</v>
      </c>
      <c r="AD7" s="7">
        <v>357.2</v>
      </c>
      <c r="AG7" s="4" t="s">
        <v>75</v>
      </c>
      <c r="AH7" s="7">
        <v>3049.7</v>
      </c>
      <c r="AK7" s="4" t="s">
        <v>75</v>
      </c>
      <c r="AL7" s="7">
        <v>2950.2999999999993</v>
      </c>
      <c r="AM7" s="7"/>
      <c r="AO7" s="4" t="s">
        <v>75</v>
      </c>
      <c r="AP7">
        <f t="shared" si="0"/>
        <v>3049.7</v>
      </c>
      <c r="AU7">
        <v>3</v>
      </c>
      <c r="AV7" s="4" t="s">
        <v>75</v>
      </c>
    </row>
    <row r="8" spans="2:49" x14ac:dyDescent="0.25">
      <c r="B8" s="6">
        <v>45298</v>
      </c>
      <c r="G8" t="s">
        <v>85</v>
      </c>
      <c r="H8" s="7">
        <v>-550</v>
      </c>
      <c r="J8" s="4" t="s">
        <v>18</v>
      </c>
      <c r="K8" s="8">
        <v>648.9</v>
      </c>
      <c r="Q8" s="4" t="s">
        <v>53</v>
      </c>
      <c r="R8" s="7">
        <v>65440</v>
      </c>
      <c r="T8" s="4" t="s">
        <v>61</v>
      </c>
      <c r="U8" s="7"/>
      <c r="V8" s="7">
        <v>84</v>
      </c>
      <c r="W8" s="7">
        <v>81</v>
      </c>
      <c r="X8" s="7">
        <v>20</v>
      </c>
      <c r="Y8" s="7"/>
      <c r="Z8" s="7"/>
      <c r="AC8" s="4" t="s">
        <v>86</v>
      </c>
      <c r="AD8" s="7">
        <v>243.20000000000002</v>
      </c>
      <c r="AG8" s="4" t="s">
        <v>76</v>
      </c>
      <c r="AH8" s="7">
        <v>3038.0000000000005</v>
      </c>
      <c r="AK8" s="4" t="s">
        <v>76</v>
      </c>
      <c r="AL8" s="7">
        <v>4302</v>
      </c>
      <c r="AM8" s="7"/>
      <c r="AO8" s="4" t="s">
        <v>76</v>
      </c>
      <c r="AP8">
        <f t="shared" si="0"/>
        <v>3038.0000000000005</v>
      </c>
      <c r="AU8">
        <v>4</v>
      </c>
      <c r="AV8" s="4" t="s">
        <v>76</v>
      </c>
    </row>
    <row r="9" spans="2:49" x14ac:dyDescent="0.25">
      <c r="B9" s="6">
        <v>45299</v>
      </c>
      <c r="G9" t="s">
        <v>86</v>
      </c>
      <c r="H9" s="7">
        <v>-2473.8999999999996</v>
      </c>
      <c r="J9" s="4" t="s">
        <v>14</v>
      </c>
      <c r="K9" s="8">
        <v>900</v>
      </c>
      <c r="T9" s="4" t="s">
        <v>62</v>
      </c>
      <c r="U9" s="7"/>
      <c r="V9" s="7"/>
      <c r="W9" s="7"/>
      <c r="X9" s="7">
        <v>20</v>
      </c>
      <c r="Y9" s="7"/>
      <c r="Z9" s="7"/>
      <c r="AC9" s="4" t="s">
        <v>88</v>
      </c>
      <c r="AD9" s="7">
        <v>75</v>
      </c>
      <c r="AG9" s="4" t="s">
        <v>77</v>
      </c>
      <c r="AH9" s="7">
        <v>3116.1</v>
      </c>
      <c r="AK9" s="4" t="s">
        <v>77</v>
      </c>
      <c r="AL9" s="7">
        <v>2883.9</v>
      </c>
      <c r="AM9" s="7"/>
      <c r="AO9" s="4" t="s">
        <v>77</v>
      </c>
      <c r="AP9">
        <f t="shared" si="0"/>
        <v>3116.1</v>
      </c>
      <c r="AU9">
        <v>5</v>
      </c>
      <c r="AV9" s="4" t="s">
        <v>77</v>
      </c>
    </row>
    <row r="10" spans="2:49" x14ac:dyDescent="0.25">
      <c r="B10" s="6">
        <v>45302</v>
      </c>
      <c r="G10" t="s">
        <v>89</v>
      </c>
      <c r="H10" s="7">
        <v>-3514.6999999999994</v>
      </c>
      <c r="J10" s="4" t="s">
        <v>53</v>
      </c>
      <c r="K10" s="8">
        <v>2313.6999999999998</v>
      </c>
      <c r="T10" s="4" t="s">
        <v>63</v>
      </c>
      <c r="U10" s="7">
        <v>648.9</v>
      </c>
      <c r="V10" s="7"/>
      <c r="W10" s="7"/>
      <c r="X10" s="7">
        <v>20</v>
      </c>
      <c r="Y10" s="7"/>
      <c r="Z10" s="7"/>
      <c r="AC10" s="4" t="s">
        <v>85</v>
      </c>
      <c r="AD10" s="7">
        <v>55</v>
      </c>
      <c r="AG10" s="4" t="s">
        <v>78</v>
      </c>
      <c r="AH10" s="7">
        <v>3005.7</v>
      </c>
      <c r="AK10" s="4" t="s">
        <v>78</v>
      </c>
      <c r="AL10" s="7">
        <v>2094.3000000000002</v>
      </c>
      <c r="AM10" s="7"/>
      <c r="AO10" s="4" t="s">
        <v>78</v>
      </c>
      <c r="AP10">
        <f t="shared" si="0"/>
        <v>3005.7</v>
      </c>
      <c r="AU10">
        <v>6</v>
      </c>
      <c r="AV10" s="4" t="s">
        <v>78</v>
      </c>
    </row>
    <row r="11" spans="2:49" x14ac:dyDescent="0.25">
      <c r="B11" s="6">
        <v>45303</v>
      </c>
      <c r="G11" t="s">
        <v>91</v>
      </c>
      <c r="H11" s="7">
        <v>-7027.6</v>
      </c>
      <c r="T11" s="4" t="s">
        <v>64</v>
      </c>
      <c r="U11" s="7"/>
      <c r="V11" s="7">
        <v>509.5</v>
      </c>
      <c r="W11" s="7"/>
      <c r="X11" s="7">
        <v>102</v>
      </c>
      <c r="Y11" s="7"/>
      <c r="Z11" s="7"/>
      <c r="AC11" s="4" t="s">
        <v>53</v>
      </c>
      <c r="AD11" s="7">
        <v>3116.1</v>
      </c>
      <c r="AG11" s="4" t="s">
        <v>79</v>
      </c>
      <c r="AH11" s="7">
        <v>3065</v>
      </c>
      <c r="AK11" s="4" t="s">
        <v>79</v>
      </c>
      <c r="AL11" s="7">
        <v>2135</v>
      </c>
      <c r="AM11" s="7"/>
      <c r="AO11" s="4" t="s">
        <v>79</v>
      </c>
      <c r="AP11">
        <f t="shared" si="0"/>
        <v>3065</v>
      </c>
      <c r="AU11">
        <v>7</v>
      </c>
      <c r="AV11" s="4" t="s">
        <v>79</v>
      </c>
    </row>
    <row r="12" spans="2:49" x14ac:dyDescent="0.25">
      <c r="B12" s="6">
        <v>45304</v>
      </c>
      <c r="G12" t="s">
        <v>87</v>
      </c>
      <c r="H12" s="7">
        <v>-16399.800000000003</v>
      </c>
      <c r="T12" s="4" t="s">
        <v>65</v>
      </c>
      <c r="U12" s="7"/>
      <c r="V12" s="7">
        <v>149.19999999999999</v>
      </c>
      <c r="W12" s="7">
        <v>59.2</v>
      </c>
      <c r="X12" s="7">
        <v>16.2</v>
      </c>
      <c r="Y12" s="7"/>
      <c r="Z12" s="7"/>
      <c r="AG12" s="4" t="s">
        <v>80</v>
      </c>
      <c r="AH12" s="7">
        <v>2952.0999999999995</v>
      </c>
      <c r="AK12" s="4" t="s">
        <v>80</v>
      </c>
      <c r="AL12" s="7">
        <v>2847.9000000000005</v>
      </c>
      <c r="AM12" s="7"/>
      <c r="AO12" s="4" t="s">
        <v>80</v>
      </c>
      <c r="AP12">
        <f t="shared" si="0"/>
        <v>2952.0999999999995</v>
      </c>
      <c r="AU12">
        <v>8</v>
      </c>
      <c r="AV12" s="4" t="s">
        <v>80</v>
      </c>
    </row>
    <row r="13" spans="2:49" x14ac:dyDescent="0.25">
      <c r="B13" s="6">
        <v>45305</v>
      </c>
      <c r="G13" t="s">
        <v>53</v>
      </c>
      <c r="H13" s="7">
        <v>35248.999999999993</v>
      </c>
      <c r="T13" s="4" t="s">
        <v>53</v>
      </c>
      <c r="U13" s="7">
        <v>1643</v>
      </c>
      <c r="V13" s="7">
        <v>742.7</v>
      </c>
      <c r="W13" s="7">
        <v>357.2</v>
      </c>
      <c r="X13" s="7">
        <v>243.2</v>
      </c>
      <c r="Y13" s="7">
        <v>75</v>
      </c>
      <c r="Z13" s="7">
        <v>55</v>
      </c>
      <c r="AG13" s="4" t="s">
        <v>81</v>
      </c>
      <c r="AH13" s="7">
        <v>3087.1</v>
      </c>
      <c r="AK13" s="4" t="s">
        <v>81</v>
      </c>
      <c r="AL13" s="7">
        <v>2012.8999999999994</v>
      </c>
      <c r="AM13" s="7"/>
      <c r="AO13" s="4" t="s">
        <v>81</v>
      </c>
      <c r="AP13">
        <f t="shared" si="0"/>
        <v>3087.1</v>
      </c>
      <c r="AU13">
        <v>9</v>
      </c>
      <c r="AV13" s="4" t="s">
        <v>81</v>
      </c>
    </row>
    <row r="14" spans="2:49" x14ac:dyDescent="0.25">
      <c r="B14" s="6">
        <v>45306</v>
      </c>
      <c r="AG14" s="4" t="s">
        <v>82</v>
      </c>
      <c r="AH14" s="7">
        <v>3098.7</v>
      </c>
      <c r="AK14" s="4" t="s">
        <v>82</v>
      </c>
      <c r="AL14" s="7">
        <v>2001.3000000000002</v>
      </c>
      <c r="AM14" s="7"/>
      <c r="AO14" s="4" t="s">
        <v>82</v>
      </c>
      <c r="AP14">
        <f t="shared" si="0"/>
        <v>3098.7</v>
      </c>
      <c r="AU14">
        <v>10</v>
      </c>
      <c r="AV14" s="4" t="s">
        <v>82</v>
      </c>
    </row>
    <row r="15" spans="2:49" x14ac:dyDescent="0.25">
      <c r="B15" s="6">
        <v>45307</v>
      </c>
      <c r="AG15" s="4" t="s">
        <v>53</v>
      </c>
      <c r="AH15" s="7">
        <v>30190.999999999996</v>
      </c>
      <c r="AK15" s="4" t="s">
        <v>53</v>
      </c>
      <c r="AL15" s="7">
        <v>35249</v>
      </c>
      <c r="AM15" s="7"/>
      <c r="AU15">
        <v>11</v>
      </c>
      <c r="AV15" s="4" t="s">
        <v>83</v>
      </c>
    </row>
    <row r="16" spans="2:49" x14ac:dyDescent="0.25">
      <c r="B16" s="6">
        <v>45308</v>
      </c>
      <c r="AU16">
        <v>12</v>
      </c>
      <c r="AV16" s="4" t="s">
        <v>84</v>
      </c>
    </row>
    <row r="17" spans="2:2" x14ac:dyDescent="0.25">
      <c r="B17" s="6">
        <v>45309</v>
      </c>
    </row>
    <row r="18" spans="2:2" x14ac:dyDescent="0.25">
      <c r="B18" s="6">
        <v>45310</v>
      </c>
    </row>
    <row r="19" spans="2:2" x14ac:dyDescent="0.25">
      <c r="B19" s="6">
        <v>45311</v>
      </c>
    </row>
    <row r="20" spans="2:2" x14ac:dyDescent="0.25">
      <c r="B20" s="6">
        <v>45312</v>
      </c>
    </row>
    <row r="21" spans="2:2" x14ac:dyDescent="0.25">
      <c r="B21" s="6">
        <v>45313</v>
      </c>
    </row>
    <row r="22" spans="2:2" x14ac:dyDescent="0.25">
      <c r="B22" s="6">
        <v>45314</v>
      </c>
    </row>
    <row r="23" spans="2:2" x14ac:dyDescent="0.25">
      <c r="B23" s="6">
        <v>45315</v>
      </c>
    </row>
    <row r="24" spans="2:2" x14ac:dyDescent="0.25">
      <c r="B24" s="6">
        <v>45316</v>
      </c>
    </row>
    <row r="25" spans="2:2" x14ac:dyDescent="0.25">
      <c r="B25" s="6">
        <v>45317</v>
      </c>
    </row>
    <row r="26" spans="2:2" x14ac:dyDescent="0.25">
      <c r="B26" s="6">
        <v>45318</v>
      </c>
    </row>
    <row r="27" spans="2:2" x14ac:dyDescent="0.25">
      <c r="B27" s="6">
        <v>45319</v>
      </c>
    </row>
    <row r="28" spans="2:2" x14ac:dyDescent="0.25">
      <c r="B28" s="6">
        <v>45320</v>
      </c>
    </row>
    <row r="29" spans="2:2" x14ac:dyDescent="0.25">
      <c r="B29" s="6">
        <v>45321</v>
      </c>
    </row>
    <row r="30" spans="2:2" x14ac:dyDescent="0.25">
      <c r="B30" s="6">
        <v>45322</v>
      </c>
    </row>
    <row r="31" spans="2:2" x14ac:dyDescent="0.25">
      <c r="B31" s="6">
        <v>45323</v>
      </c>
    </row>
    <row r="32" spans="2:2" x14ac:dyDescent="0.25">
      <c r="B32" s="6">
        <v>45324</v>
      </c>
    </row>
    <row r="33" spans="2:2" x14ac:dyDescent="0.25">
      <c r="B33" s="6">
        <v>45325</v>
      </c>
    </row>
    <row r="34" spans="2:2" x14ac:dyDescent="0.25">
      <c r="B34" s="6">
        <v>45326</v>
      </c>
    </row>
    <row r="35" spans="2:2" x14ac:dyDescent="0.25">
      <c r="B35" s="6">
        <v>45327</v>
      </c>
    </row>
    <row r="36" spans="2:2" x14ac:dyDescent="0.25">
      <c r="B36" s="6">
        <v>45330</v>
      </c>
    </row>
    <row r="37" spans="2:2" x14ac:dyDescent="0.25">
      <c r="B37" s="6">
        <v>45331</v>
      </c>
    </row>
    <row r="38" spans="2:2" x14ac:dyDescent="0.25">
      <c r="B38" s="6">
        <v>45332</v>
      </c>
    </row>
    <row r="39" spans="2:2" x14ac:dyDescent="0.25">
      <c r="B39" s="6">
        <v>45333</v>
      </c>
    </row>
    <row r="40" spans="2:2" x14ac:dyDescent="0.25">
      <c r="B40" s="6">
        <v>45334</v>
      </c>
    </row>
    <row r="41" spans="2:2" x14ac:dyDescent="0.25">
      <c r="B41" s="6">
        <v>45335</v>
      </c>
    </row>
    <row r="42" spans="2:2" x14ac:dyDescent="0.25">
      <c r="B42" s="6">
        <v>45336</v>
      </c>
    </row>
    <row r="43" spans="2:2" x14ac:dyDescent="0.25">
      <c r="B43" s="6">
        <v>45337</v>
      </c>
    </row>
    <row r="44" spans="2:2" x14ac:dyDescent="0.25">
      <c r="B44" s="6">
        <v>45338</v>
      </c>
    </row>
    <row r="45" spans="2:2" x14ac:dyDescent="0.25">
      <c r="B45" s="6">
        <v>45339</v>
      </c>
    </row>
    <row r="46" spans="2:2" x14ac:dyDescent="0.25">
      <c r="B46" s="6">
        <v>45340</v>
      </c>
    </row>
    <row r="47" spans="2:2" x14ac:dyDescent="0.25">
      <c r="B47" s="6">
        <v>45341</v>
      </c>
    </row>
    <row r="48" spans="2:2" x14ac:dyDescent="0.25">
      <c r="B48" s="6">
        <v>45342</v>
      </c>
    </row>
    <row r="49" spans="2:2" x14ac:dyDescent="0.25">
      <c r="B49" s="6">
        <v>45343</v>
      </c>
    </row>
    <row r="50" spans="2:2" x14ac:dyDescent="0.25">
      <c r="B50" s="6">
        <v>45344</v>
      </c>
    </row>
    <row r="51" spans="2:2" x14ac:dyDescent="0.25">
      <c r="B51" s="6">
        <v>45345</v>
      </c>
    </row>
    <row r="52" spans="2:2" x14ac:dyDescent="0.25">
      <c r="B52" s="6">
        <v>45346</v>
      </c>
    </row>
    <row r="53" spans="2:2" x14ac:dyDescent="0.25">
      <c r="B53" s="6">
        <v>45347</v>
      </c>
    </row>
    <row r="54" spans="2:2" x14ac:dyDescent="0.25">
      <c r="B54" s="6">
        <v>45348</v>
      </c>
    </row>
    <row r="55" spans="2:2" x14ac:dyDescent="0.25">
      <c r="B55" s="6">
        <v>45349</v>
      </c>
    </row>
    <row r="56" spans="2:2" x14ac:dyDescent="0.25">
      <c r="B56" s="6">
        <v>45350</v>
      </c>
    </row>
    <row r="57" spans="2:2" x14ac:dyDescent="0.25">
      <c r="B57" s="6">
        <v>45352</v>
      </c>
    </row>
    <row r="58" spans="2:2" x14ac:dyDescent="0.25">
      <c r="B58" s="6">
        <v>45353</v>
      </c>
    </row>
    <row r="59" spans="2:2" x14ac:dyDescent="0.25">
      <c r="B59" s="6">
        <v>45354</v>
      </c>
    </row>
    <row r="60" spans="2:2" x14ac:dyDescent="0.25">
      <c r="B60" s="6">
        <v>45355</v>
      </c>
    </row>
    <row r="61" spans="2:2" x14ac:dyDescent="0.25">
      <c r="B61" s="6">
        <v>45356</v>
      </c>
    </row>
    <row r="62" spans="2:2" x14ac:dyDescent="0.25">
      <c r="B62" s="6">
        <v>45359</v>
      </c>
    </row>
    <row r="63" spans="2:2" x14ac:dyDescent="0.25">
      <c r="B63" s="6">
        <v>45360</v>
      </c>
    </row>
    <row r="64" spans="2:2" x14ac:dyDescent="0.25">
      <c r="B64" s="6">
        <v>45361</v>
      </c>
    </row>
    <row r="65" spans="2:2" x14ac:dyDescent="0.25">
      <c r="B65" s="6">
        <v>45362</v>
      </c>
    </row>
    <row r="66" spans="2:2" x14ac:dyDescent="0.25">
      <c r="B66" s="6">
        <v>45363</v>
      </c>
    </row>
    <row r="67" spans="2:2" x14ac:dyDescent="0.25">
      <c r="B67" s="6">
        <v>45364</v>
      </c>
    </row>
    <row r="68" spans="2:2" x14ac:dyDescent="0.25">
      <c r="B68" s="6">
        <v>45365</v>
      </c>
    </row>
    <row r="69" spans="2:2" x14ac:dyDescent="0.25">
      <c r="B69" s="6">
        <v>45366</v>
      </c>
    </row>
    <row r="70" spans="2:2" x14ac:dyDescent="0.25">
      <c r="B70" s="6">
        <v>45367</v>
      </c>
    </row>
    <row r="71" spans="2:2" x14ac:dyDescent="0.25">
      <c r="B71" s="6">
        <v>45368</v>
      </c>
    </row>
    <row r="72" spans="2:2" x14ac:dyDescent="0.25">
      <c r="B72" s="6">
        <v>45369</v>
      </c>
    </row>
    <row r="73" spans="2:2" x14ac:dyDescent="0.25">
      <c r="B73" s="6">
        <v>45370</v>
      </c>
    </row>
    <row r="74" spans="2:2" x14ac:dyDescent="0.25">
      <c r="B74" s="6">
        <v>45371</v>
      </c>
    </row>
    <row r="75" spans="2:2" x14ac:dyDescent="0.25">
      <c r="B75" s="6">
        <v>45372</v>
      </c>
    </row>
    <row r="76" spans="2:2" x14ac:dyDescent="0.25">
      <c r="B76" s="6">
        <v>45373</v>
      </c>
    </row>
    <row r="77" spans="2:2" x14ac:dyDescent="0.25">
      <c r="B77" s="6">
        <v>45374</v>
      </c>
    </row>
    <row r="78" spans="2:2" x14ac:dyDescent="0.25">
      <c r="B78" s="6">
        <v>45375</v>
      </c>
    </row>
    <row r="79" spans="2:2" x14ac:dyDescent="0.25">
      <c r="B79" s="6">
        <v>45376</v>
      </c>
    </row>
    <row r="80" spans="2:2" x14ac:dyDescent="0.25">
      <c r="B80" s="6">
        <v>45377</v>
      </c>
    </row>
    <row r="81" spans="2:2" x14ac:dyDescent="0.25">
      <c r="B81" s="6">
        <v>45378</v>
      </c>
    </row>
    <row r="82" spans="2:2" x14ac:dyDescent="0.25">
      <c r="B82" s="6">
        <v>45379</v>
      </c>
    </row>
    <row r="83" spans="2:2" x14ac:dyDescent="0.25">
      <c r="B83" s="6">
        <v>45380</v>
      </c>
    </row>
    <row r="84" spans="2:2" x14ac:dyDescent="0.25">
      <c r="B84" s="6">
        <v>45381</v>
      </c>
    </row>
    <row r="85" spans="2:2" x14ac:dyDescent="0.25">
      <c r="B85" s="6">
        <v>45382</v>
      </c>
    </row>
    <row r="86" spans="2:2" x14ac:dyDescent="0.25">
      <c r="B86" s="6">
        <v>45383</v>
      </c>
    </row>
    <row r="87" spans="2:2" x14ac:dyDescent="0.25">
      <c r="B87" s="6">
        <v>45384</v>
      </c>
    </row>
    <row r="88" spans="2:2" x14ac:dyDescent="0.25">
      <c r="B88" s="6">
        <v>45385</v>
      </c>
    </row>
    <row r="89" spans="2:2" x14ac:dyDescent="0.25">
      <c r="B89" s="6">
        <v>45386</v>
      </c>
    </row>
    <row r="90" spans="2:2" x14ac:dyDescent="0.25">
      <c r="B90" s="6">
        <v>45387</v>
      </c>
    </row>
    <row r="91" spans="2:2" x14ac:dyDescent="0.25">
      <c r="B91" s="6">
        <v>45390</v>
      </c>
    </row>
    <row r="92" spans="2:2" x14ac:dyDescent="0.25">
      <c r="B92" s="6">
        <v>45391</v>
      </c>
    </row>
    <row r="93" spans="2:2" x14ac:dyDescent="0.25">
      <c r="B93" s="6">
        <v>45392</v>
      </c>
    </row>
    <row r="94" spans="2:2" x14ac:dyDescent="0.25">
      <c r="B94" s="6">
        <v>45393</v>
      </c>
    </row>
    <row r="95" spans="2:2" x14ac:dyDescent="0.25">
      <c r="B95" s="6">
        <v>45394</v>
      </c>
    </row>
    <row r="96" spans="2:2" x14ac:dyDescent="0.25">
      <c r="B96" s="6">
        <v>45395</v>
      </c>
    </row>
    <row r="97" spans="2:2" x14ac:dyDescent="0.25">
      <c r="B97" s="6">
        <v>45396</v>
      </c>
    </row>
    <row r="98" spans="2:2" x14ac:dyDescent="0.25">
      <c r="B98" s="6">
        <v>45397</v>
      </c>
    </row>
    <row r="99" spans="2:2" x14ac:dyDescent="0.25">
      <c r="B99" s="6">
        <v>45398</v>
      </c>
    </row>
    <row r="100" spans="2:2" x14ac:dyDescent="0.25">
      <c r="B100" s="6">
        <v>45399</v>
      </c>
    </row>
    <row r="101" spans="2:2" x14ac:dyDescent="0.25">
      <c r="B101" s="6">
        <v>45400</v>
      </c>
    </row>
    <row r="102" spans="2:2" x14ac:dyDescent="0.25">
      <c r="B102" s="6">
        <v>45401</v>
      </c>
    </row>
    <row r="103" spans="2:2" x14ac:dyDescent="0.25">
      <c r="B103" s="6">
        <v>45402</v>
      </c>
    </row>
    <row r="104" spans="2:2" x14ac:dyDescent="0.25">
      <c r="B104" s="6">
        <v>45403</v>
      </c>
    </row>
    <row r="105" spans="2:2" x14ac:dyDescent="0.25">
      <c r="B105" s="6">
        <v>45404</v>
      </c>
    </row>
    <row r="106" spans="2:2" x14ac:dyDescent="0.25">
      <c r="B106" s="6">
        <v>45405</v>
      </c>
    </row>
    <row r="107" spans="2:2" x14ac:dyDescent="0.25">
      <c r="B107" s="6">
        <v>45406</v>
      </c>
    </row>
    <row r="108" spans="2:2" x14ac:dyDescent="0.25">
      <c r="B108" s="6">
        <v>45407</v>
      </c>
    </row>
    <row r="109" spans="2:2" x14ac:dyDescent="0.25">
      <c r="B109" s="6">
        <v>45408</v>
      </c>
    </row>
    <row r="110" spans="2:2" x14ac:dyDescent="0.25">
      <c r="B110" s="6">
        <v>45409</v>
      </c>
    </row>
    <row r="111" spans="2:2" x14ac:dyDescent="0.25">
      <c r="B111" s="6">
        <v>45410</v>
      </c>
    </row>
    <row r="112" spans="2:2" x14ac:dyDescent="0.25">
      <c r="B112" s="6">
        <v>45411</v>
      </c>
    </row>
    <row r="113" spans="2:2" x14ac:dyDescent="0.25">
      <c r="B113" s="6">
        <v>45412</v>
      </c>
    </row>
    <row r="114" spans="2:2" x14ac:dyDescent="0.25">
      <c r="B114" s="6">
        <v>45414</v>
      </c>
    </row>
    <row r="115" spans="2:2" x14ac:dyDescent="0.25">
      <c r="B115" s="6">
        <v>45415</v>
      </c>
    </row>
    <row r="116" spans="2:2" x14ac:dyDescent="0.25">
      <c r="B116" s="6">
        <v>45416</v>
      </c>
    </row>
    <row r="117" spans="2:2" x14ac:dyDescent="0.25">
      <c r="B117" s="6">
        <v>45417</v>
      </c>
    </row>
    <row r="118" spans="2:2" x14ac:dyDescent="0.25">
      <c r="B118" s="6">
        <v>45418</v>
      </c>
    </row>
    <row r="119" spans="2:2" x14ac:dyDescent="0.25">
      <c r="B119" s="6">
        <v>45421</v>
      </c>
    </row>
    <row r="120" spans="2:2" x14ac:dyDescent="0.25">
      <c r="B120" s="6">
        <v>45422</v>
      </c>
    </row>
    <row r="121" spans="2:2" x14ac:dyDescent="0.25">
      <c r="B121" s="6">
        <v>45423</v>
      </c>
    </row>
    <row r="122" spans="2:2" x14ac:dyDescent="0.25">
      <c r="B122" s="6">
        <v>45424</v>
      </c>
    </row>
    <row r="123" spans="2:2" x14ac:dyDescent="0.25">
      <c r="B123" s="6">
        <v>45425</v>
      </c>
    </row>
    <row r="124" spans="2:2" x14ac:dyDescent="0.25">
      <c r="B124" s="6">
        <v>45426</v>
      </c>
    </row>
    <row r="125" spans="2:2" x14ac:dyDescent="0.25">
      <c r="B125" s="6">
        <v>45427</v>
      </c>
    </row>
    <row r="126" spans="2:2" x14ac:dyDescent="0.25">
      <c r="B126" s="6">
        <v>45428</v>
      </c>
    </row>
    <row r="127" spans="2:2" x14ac:dyDescent="0.25">
      <c r="B127" s="6">
        <v>45429</v>
      </c>
    </row>
    <row r="128" spans="2:2" x14ac:dyDescent="0.25">
      <c r="B128" s="6">
        <v>45430</v>
      </c>
    </row>
    <row r="129" spans="2:2" x14ac:dyDescent="0.25">
      <c r="B129" s="6">
        <v>45431</v>
      </c>
    </row>
    <row r="130" spans="2:2" x14ac:dyDescent="0.25">
      <c r="B130" s="6">
        <v>45432</v>
      </c>
    </row>
    <row r="131" spans="2:2" x14ac:dyDescent="0.25">
      <c r="B131" s="6">
        <v>45433</v>
      </c>
    </row>
    <row r="132" spans="2:2" x14ac:dyDescent="0.25">
      <c r="B132" s="6">
        <v>45434</v>
      </c>
    </row>
    <row r="133" spans="2:2" x14ac:dyDescent="0.25">
      <c r="B133" s="6">
        <v>45435</v>
      </c>
    </row>
    <row r="134" spans="2:2" x14ac:dyDescent="0.25">
      <c r="B134" s="6">
        <v>45436</v>
      </c>
    </row>
    <row r="135" spans="2:2" x14ac:dyDescent="0.25">
      <c r="B135" s="6">
        <v>45437</v>
      </c>
    </row>
    <row r="136" spans="2:2" x14ac:dyDescent="0.25">
      <c r="B136" s="6">
        <v>45438</v>
      </c>
    </row>
    <row r="137" spans="2:2" x14ac:dyDescent="0.25">
      <c r="B137" s="6">
        <v>45439</v>
      </c>
    </row>
    <row r="138" spans="2:2" x14ac:dyDescent="0.25">
      <c r="B138" s="6">
        <v>45440</v>
      </c>
    </row>
    <row r="139" spans="2:2" x14ac:dyDescent="0.25">
      <c r="B139" s="6">
        <v>45441</v>
      </c>
    </row>
    <row r="140" spans="2:2" x14ac:dyDescent="0.25">
      <c r="B140" s="6">
        <v>45443</v>
      </c>
    </row>
    <row r="141" spans="2:2" x14ac:dyDescent="0.25">
      <c r="B141" s="6">
        <v>45442</v>
      </c>
    </row>
    <row r="142" spans="2:2" x14ac:dyDescent="0.25">
      <c r="B142" s="6">
        <v>45444</v>
      </c>
    </row>
    <row r="143" spans="2:2" x14ac:dyDescent="0.25">
      <c r="B143" s="6">
        <v>45446</v>
      </c>
    </row>
    <row r="144" spans="2:2" x14ac:dyDescent="0.25">
      <c r="B144" s="6">
        <v>45447</v>
      </c>
    </row>
    <row r="145" spans="2:2" x14ac:dyDescent="0.25">
      <c r="B145" s="6">
        <v>45448</v>
      </c>
    </row>
    <row r="146" spans="2:2" x14ac:dyDescent="0.25">
      <c r="B146" s="6">
        <v>45449</v>
      </c>
    </row>
    <row r="147" spans="2:2" x14ac:dyDescent="0.25">
      <c r="B147" s="6">
        <v>45452</v>
      </c>
    </row>
    <row r="148" spans="2:2" x14ac:dyDescent="0.25">
      <c r="B148" s="6">
        <v>45453</v>
      </c>
    </row>
    <row r="149" spans="2:2" x14ac:dyDescent="0.25">
      <c r="B149" s="6">
        <v>45454</v>
      </c>
    </row>
    <row r="150" spans="2:2" x14ac:dyDescent="0.25">
      <c r="B150" s="6">
        <v>45455</v>
      </c>
    </row>
    <row r="151" spans="2:2" x14ac:dyDescent="0.25">
      <c r="B151" s="6">
        <v>45456</v>
      </c>
    </row>
    <row r="152" spans="2:2" x14ac:dyDescent="0.25">
      <c r="B152" s="6">
        <v>45457</v>
      </c>
    </row>
    <row r="153" spans="2:2" x14ac:dyDescent="0.25">
      <c r="B153" s="6">
        <v>45458</v>
      </c>
    </row>
    <row r="154" spans="2:2" x14ac:dyDescent="0.25">
      <c r="B154" s="6">
        <v>45459</v>
      </c>
    </row>
    <row r="155" spans="2:2" x14ac:dyDescent="0.25">
      <c r="B155" s="6">
        <v>45460</v>
      </c>
    </row>
    <row r="156" spans="2:2" x14ac:dyDescent="0.25">
      <c r="B156" s="6">
        <v>45461</v>
      </c>
    </row>
    <row r="157" spans="2:2" x14ac:dyDescent="0.25">
      <c r="B157" s="6">
        <v>45462</v>
      </c>
    </row>
    <row r="158" spans="2:2" x14ac:dyDescent="0.25">
      <c r="B158" s="6">
        <v>45463</v>
      </c>
    </row>
    <row r="159" spans="2:2" x14ac:dyDescent="0.25">
      <c r="B159" s="6">
        <v>45464</v>
      </c>
    </row>
    <row r="160" spans="2:2" x14ac:dyDescent="0.25">
      <c r="B160" s="6">
        <v>45465</v>
      </c>
    </row>
    <row r="161" spans="2:2" x14ac:dyDescent="0.25">
      <c r="B161" s="6">
        <v>45466</v>
      </c>
    </row>
    <row r="162" spans="2:2" x14ac:dyDescent="0.25">
      <c r="B162" s="6">
        <v>45467</v>
      </c>
    </row>
    <row r="163" spans="2:2" x14ac:dyDescent="0.25">
      <c r="B163" s="6">
        <v>45468</v>
      </c>
    </row>
    <row r="164" spans="2:2" x14ac:dyDescent="0.25">
      <c r="B164" s="6">
        <v>45469</v>
      </c>
    </row>
    <row r="165" spans="2:2" x14ac:dyDescent="0.25">
      <c r="B165" s="6">
        <v>45470</v>
      </c>
    </row>
    <row r="166" spans="2:2" x14ac:dyDescent="0.25">
      <c r="B166" s="6">
        <v>45471</v>
      </c>
    </row>
    <row r="167" spans="2:2" x14ac:dyDescent="0.25">
      <c r="B167" s="6">
        <v>45472</v>
      </c>
    </row>
    <row r="168" spans="2:2" x14ac:dyDescent="0.25">
      <c r="B168" s="6">
        <v>45473</v>
      </c>
    </row>
    <row r="169" spans="2:2" x14ac:dyDescent="0.25">
      <c r="B169" s="6">
        <v>45474</v>
      </c>
    </row>
    <row r="170" spans="2:2" x14ac:dyDescent="0.25">
      <c r="B170" s="6">
        <v>45475</v>
      </c>
    </row>
    <row r="171" spans="2:2" x14ac:dyDescent="0.25">
      <c r="B171" s="6">
        <v>45476</v>
      </c>
    </row>
    <row r="172" spans="2:2" x14ac:dyDescent="0.25">
      <c r="B172" s="6">
        <v>45478</v>
      </c>
    </row>
    <row r="173" spans="2:2" x14ac:dyDescent="0.25">
      <c r="B173" s="6">
        <v>45479</v>
      </c>
    </row>
    <row r="174" spans="2:2" x14ac:dyDescent="0.25">
      <c r="B174" s="6">
        <v>45480</v>
      </c>
    </row>
    <row r="175" spans="2:2" x14ac:dyDescent="0.25">
      <c r="B175" s="6">
        <v>45483</v>
      </c>
    </row>
    <row r="176" spans="2:2" x14ac:dyDescent="0.25">
      <c r="B176" s="6">
        <v>45484</v>
      </c>
    </row>
    <row r="177" spans="2:2" x14ac:dyDescent="0.25">
      <c r="B177" s="6">
        <v>45485</v>
      </c>
    </row>
    <row r="178" spans="2:2" x14ac:dyDescent="0.25">
      <c r="B178" s="6">
        <v>45486</v>
      </c>
    </row>
    <row r="179" spans="2:2" x14ac:dyDescent="0.25">
      <c r="B179" s="6">
        <v>45487</v>
      </c>
    </row>
    <row r="180" spans="2:2" x14ac:dyDescent="0.25">
      <c r="B180" s="6">
        <v>45488</v>
      </c>
    </row>
    <row r="181" spans="2:2" x14ac:dyDescent="0.25">
      <c r="B181" s="6">
        <v>45489</v>
      </c>
    </row>
    <row r="182" spans="2:2" x14ac:dyDescent="0.25">
      <c r="B182" s="6">
        <v>45490</v>
      </c>
    </row>
    <row r="183" spans="2:2" x14ac:dyDescent="0.25">
      <c r="B183" s="6">
        <v>45491</v>
      </c>
    </row>
    <row r="184" spans="2:2" x14ac:dyDescent="0.25">
      <c r="B184" s="6">
        <v>45492</v>
      </c>
    </row>
    <row r="185" spans="2:2" x14ac:dyDescent="0.25">
      <c r="B185" s="6">
        <v>45493</v>
      </c>
    </row>
    <row r="186" spans="2:2" x14ac:dyDescent="0.25">
      <c r="B186" s="6">
        <v>45494</v>
      </c>
    </row>
    <row r="187" spans="2:2" x14ac:dyDescent="0.25">
      <c r="B187" s="6">
        <v>45495</v>
      </c>
    </row>
    <row r="188" spans="2:2" x14ac:dyDescent="0.25">
      <c r="B188" s="6">
        <v>45496</v>
      </c>
    </row>
    <row r="189" spans="2:2" x14ac:dyDescent="0.25">
      <c r="B189" s="6">
        <v>45497</v>
      </c>
    </row>
    <row r="190" spans="2:2" x14ac:dyDescent="0.25">
      <c r="B190" s="6">
        <v>45498</v>
      </c>
    </row>
    <row r="191" spans="2:2" x14ac:dyDescent="0.25">
      <c r="B191" s="6">
        <v>45499</v>
      </c>
    </row>
    <row r="192" spans="2:2" x14ac:dyDescent="0.25">
      <c r="B192" s="6">
        <v>45500</v>
      </c>
    </row>
    <row r="193" spans="2:2" x14ac:dyDescent="0.25">
      <c r="B193" s="6">
        <v>45501</v>
      </c>
    </row>
    <row r="194" spans="2:2" x14ac:dyDescent="0.25">
      <c r="B194" s="6">
        <v>45502</v>
      </c>
    </row>
    <row r="195" spans="2:2" x14ac:dyDescent="0.25">
      <c r="B195" s="6">
        <v>45503</v>
      </c>
    </row>
    <row r="196" spans="2:2" x14ac:dyDescent="0.25">
      <c r="B196" s="6">
        <v>45504</v>
      </c>
    </row>
    <row r="197" spans="2:2" x14ac:dyDescent="0.25">
      <c r="B197" s="6">
        <v>45506</v>
      </c>
    </row>
    <row r="198" spans="2:2" x14ac:dyDescent="0.25">
      <c r="B198" s="6">
        <v>45507</v>
      </c>
    </row>
    <row r="199" spans="2:2" x14ac:dyDescent="0.25">
      <c r="B199" s="6">
        <v>45509</v>
      </c>
    </row>
    <row r="200" spans="2:2" x14ac:dyDescent="0.25">
      <c r="B200" s="6">
        <v>45510</v>
      </c>
    </row>
    <row r="201" spans="2:2" x14ac:dyDescent="0.25">
      <c r="B201" s="6">
        <v>45511</v>
      </c>
    </row>
    <row r="202" spans="2:2" x14ac:dyDescent="0.25">
      <c r="B202" s="6">
        <v>45514</v>
      </c>
    </row>
    <row r="203" spans="2:2" x14ac:dyDescent="0.25">
      <c r="B203" s="6">
        <v>45515</v>
      </c>
    </row>
    <row r="204" spans="2:2" x14ac:dyDescent="0.25">
      <c r="B204" s="6">
        <v>45516</v>
      </c>
    </row>
    <row r="205" spans="2:2" x14ac:dyDescent="0.25">
      <c r="B205" s="6">
        <v>45517</v>
      </c>
    </row>
    <row r="206" spans="2:2" x14ac:dyDescent="0.25">
      <c r="B206" s="6">
        <v>45518</v>
      </c>
    </row>
    <row r="207" spans="2:2" x14ac:dyDescent="0.25">
      <c r="B207" s="6">
        <v>45519</v>
      </c>
    </row>
    <row r="208" spans="2:2" x14ac:dyDescent="0.25">
      <c r="B208" s="6">
        <v>45520</v>
      </c>
    </row>
    <row r="209" spans="2:2" x14ac:dyDescent="0.25">
      <c r="B209" s="6">
        <v>45521</v>
      </c>
    </row>
    <row r="210" spans="2:2" x14ac:dyDescent="0.25">
      <c r="B210" s="6">
        <v>45522</v>
      </c>
    </row>
    <row r="211" spans="2:2" x14ac:dyDescent="0.25">
      <c r="B211" s="6">
        <v>45523</v>
      </c>
    </row>
    <row r="212" spans="2:2" x14ac:dyDescent="0.25">
      <c r="B212" s="6">
        <v>45524</v>
      </c>
    </row>
    <row r="213" spans="2:2" x14ac:dyDescent="0.25">
      <c r="B213" s="6">
        <v>45525</v>
      </c>
    </row>
    <row r="214" spans="2:2" x14ac:dyDescent="0.25">
      <c r="B214" s="6">
        <v>45526</v>
      </c>
    </row>
    <row r="215" spans="2:2" x14ac:dyDescent="0.25">
      <c r="B215" s="6">
        <v>45527</v>
      </c>
    </row>
    <row r="216" spans="2:2" x14ac:dyDescent="0.25">
      <c r="B216" s="6">
        <v>45528</v>
      </c>
    </row>
    <row r="217" spans="2:2" x14ac:dyDescent="0.25">
      <c r="B217" s="6">
        <v>45529</v>
      </c>
    </row>
    <row r="218" spans="2:2" x14ac:dyDescent="0.25">
      <c r="B218" s="6">
        <v>45530</v>
      </c>
    </row>
    <row r="219" spans="2:2" x14ac:dyDescent="0.25">
      <c r="B219" s="6">
        <v>45531</v>
      </c>
    </row>
    <row r="220" spans="2:2" x14ac:dyDescent="0.25">
      <c r="B220" s="6">
        <v>45532</v>
      </c>
    </row>
    <row r="221" spans="2:2" x14ac:dyDescent="0.25">
      <c r="B221" s="6">
        <v>45533</v>
      </c>
    </row>
    <row r="222" spans="2:2" x14ac:dyDescent="0.25">
      <c r="B222" s="6">
        <v>45534</v>
      </c>
    </row>
    <row r="223" spans="2:2" x14ac:dyDescent="0.25">
      <c r="B223" s="6">
        <v>45535</v>
      </c>
    </row>
    <row r="224" spans="2:2" x14ac:dyDescent="0.25">
      <c r="B224" s="6">
        <v>45537</v>
      </c>
    </row>
    <row r="225" spans="2:2" x14ac:dyDescent="0.25">
      <c r="B225" s="6">
        <v>45538</v>
      </c>
    </row>
    <row r="226" spans="2:2" x14ac:dyDescent="0.25">
      <c r="B226" s="6">
        <v>45540</v>
      </c>
    </row>
    <row r="227" spans="2:2" x14ac:dyDescent="0.25">
      <c r="B227" s="6">
        <v>45541</v>
      </c>
    </row>
    <row r="228" spans="2:2" x14ac:dyDescent="0.25">
      <c r="B228" s="6">
        <v>45542</v>
      </c>
    </row>
    <row r="229" spans="2:2" x14ac:dyDescent="0.25">
      <c r="B229" s="6">
        <v>45545</v>
      </c>
    </row>
    <row r="230" spans="2:2" x14ac:dyDescent="0.25">
      <c r="B230" s="6">
        <v>45546</v>
      </c>
    </row>
    <row r="231" spans="2:2" x14ac:dyDescent="0.25">
      <c r="B231" s="6">
        <v>45547</v>
      </c>
    </row>
    <row r="232" spans="2:2" x14ac:dyDescent="0.25">
      <c r="B232" s="6">
        <v>45548</v>
      </c>
    </row>
    <row r="233" spans="2:2" x14ac:dyDescent="0.25">
      <c r="B233" s="6">
        <v>45549</v>
      </c>
    </row>
    <row r="234" spans="2:2" x14ac:dyDescent="0.25">
      <c r="B234" s="6">
        <v>45550</v>
      </c>
    </row>
    <row r="235" spans="2:2" x14ac:dyDescent="0.25">
      <c r="B235" s="6">
        <v>45551</v>
      </c>
    </row>
    <row r="236" spans="2:2" x14ac:dyDescent="0.25">
      <c r="B236" s="6">
        <v>45552</v>
      </c>
    </row>
    <row r="237" spans="2:2" x14ac:dyDescent="0.25">
      <c r="B237" s="6">
        <v>45553</v>
      </c>
    </row>
    <row r="238" spans="2:2" x14ac:dyDescent="0.25">
      <c r="B238" s="6">
        <v>45554</v>
      </c>
    </row>
    <row r="239" spans="2:2" x14ac:dyDescent="0.25">
      <c r="B239" s="6">
        <v>45555</v>
      </c>
    </row>
    <row r="240" spans="2:2" x14ac:dyDescent="0.25">
      <c r="B240" s="6">
        <v>45556</v>
      </c>
    </row>
    <row r="241" spans="2:2" x14ac:dyDescent="0.25">
      <c r="B241" s="6">
        <v>45557</v>
      </c>
    </row>
    <row r="242" spans="2:2" x14ac:dyDescent="0.25">
      <c r="B242" s="6">
        <v>45558</v>
      </c>
    </row>
    <row r="243" spans="2:2" x14ac:dyDescent="0.25">
      <c r="B243" s="6">
        <v>45559</v>
      </c>
    </row>
    <row r="244" spans="2:2" x14ac:dyDescent="0.25">
      <c r="B244" s="6">
        <v>45560</v>
      </c>
    </row>
    <row r="245" spans="2:2" x14ac:dyDescent="0.25">
      <c r="B245" s="6">
        <v>45561</v>
      </c>
    </row>
    <row r="246" spans="2:2" x14ac:dyDescent="0.25">
      <c r="B246" s="6">
        <v>45562</v>
      </c>
    </row>
    <row r="247" spans="2:2" x14ac:dyDescent="0.25">
      <c r="B247" s="6">
        <v>45563</v>
      </c>
    </row>
    <row r="248" spans="2:2" x14ac:dyDescent="0.25">
      <c r="B248" s="6">
        <v>45564</v>
      </c>
    </row>
    <row r="249" spans="2:2" x14ac:dyDescent="0.25">
      <c r="B249" s="6">
        <v>45565</v>
      </c>
    </row>
    <row r="250" spans="2:2" x14ac:dyDescent="0.25">
      <c r="B250" s="6">
        <v>45566</v>
      </c>
    </row>
    <row r="251" spans="2:2" x14ac:dyDescent="0.25">
      <c r="B251" s="6">
        <v>45568</v>
      </c>
    </row>
    <row r="252" spans="2:2" x14ac:dyDescent="0.25">
      <c r="B252" s="6">
        <v>45569</v>
      </c>
    </row>
    <row r="253" spans="2:2" x14ac:dyDescent="0.25">
      <c r="B253" s="6">
        <v>45571</v>
      </c>
    </row>
    <row r="254" spans="2:2" x14ac:dyDescent="0.25">
      <c r="B254" s="6">
        <v>45572</v>
      </c>
    </row>
    <row r="255" spans="2:2" x14ac:dyDescent="0.25">
      <c r="B255" s="6">
        <v>45573</v>
      </c>
    </row>
    <row r="256" spans="2:2" x14ac:dyDescent="0.25">
      <c r="B256" s="6">
        <v>45576</v>
      </c>
    </row>
    <row r="257" spans="2:2" x14ac:dyDescent="0.25">
      <c r="B257" s="6">
        <v>45577</v>
      </c>
    </row>
    <row r="258" spans="2:2" x14ac:dyDescent="0.25">
      <c r="B258" s="6">
        <v>45578</v>
      </c>
    </row>
    <row r="259" spans="2:2" x14ac:dyDescent="0.25">
      <c r="B259" s="6">
        <v>45579</v>
      </c>
    </row>
    <row r="260" spans="2:2" x14ac:dyDescent="0.25">
      <c r="B260" s="6">
        <v>45580</v>
      </c>
    </row>
    <row r="261" spans="2:2" x14ac:dyDescent="0.25">
      <c r="B261" s="6">
        <v>45581</v>
      </c>
    </row>
    <row r="262" spans="2:2" x14ac:dyDescent="0.25">
      <c r="B262" s="6">
        <v>45582</v>
      </c>
    </row>
    <row r="263" spans="2:2" x14ac:dyDescent="0.25">
      <c r="B263" s="6">
        <v>45583</v>
      </c>
    </row>
    <row r="264" spans="2:2" x14ac:dyDescent="0.25">
      <c r="B264" s="6">
        <v>45584</v>
      </c>
    </row>
    <row r="265" spans="2:2" x14ac:dyDescent="0.25">
      <c r="B265" s="6">
        <v>45585</v>
      </c>
    </row>
    <row r="266" spans="2:2" x14ac:dyDescent="0.25">
      <c r="B266" s="6">
        <v>45586</v>
      </c>
    </row>
    <row r="267" spans="2:2" x14ac:dyDescent="0.25">
      <c r="B267" s="6">
        <v>45587</v>
      </c>
    </row>
    <row r="268" spans="2:2" x14ac:dyDescent="0.25">
      <c r="B268" s="6">
        <v>45588</v>
      </c>
    </row>
    <row r="269" spans="2:2" x14ac:dyDescent="0.25">
      <c r="B269" s="6">
        <v>45589</v>
      </c>
    </row>
    <row r="270" spans="2:2" x14ac:dyDescent="0.25">
      <c r="B270" s="6">
        <v>45590</v>
      </c>
    </row>
    <row r="271" spans="2:2" x14ac:dyDescent="0.25">
      <c r="B271" s="6">
        <v>45591</v>
      </c>
    </row>
    <row r="272" spans="2:2" x14ac:dyDescent="0.25">
      <c r="B272" s="6">
        <v>45592</v>
      </c>
    </row>
    <row r="273" spans="2:2" x14ac:dyDescent="0.25">
      <c r="B273" s="6">
        <v>45593</v>
      </c>
    </row>
    <row r="274" spans="2:2" x14ac:dyDescent="0.25">
      <c r="B274" s="6">
        <v>45594</v>
      </c>
    </row>
    <row r="275" spans="2:2" x14ac:dyDescent="0.25">
      <c r="B275" s="6">
        <v>45595</v>
      </c>
    </row>
    <row r="276" spans="2:2" x14ac:dyDescent="0.25">
      <c r="B276" s="6">
        <v>45596</v>
      </c>
    </row>
    <row r="277" spans="2:2" x14ac:dyDescent="0.25">
      <c r="B277" s="4" t="s">
        <v>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CD6EC-6157-48C7-B86B-68F3FFC7DC73}">
  <sheetPr codeName="Hoja3"/>
  <dimension ref="B4:U41"/>
  <sheetViews>
    <sheetView showGridLines="0" tabSelected="1" zoomScaleNormal="100" workbookViewId="0">
      <selection activeCell="V8" sqref="V8"/>
    </sheetView>
  </sheetViews>
  <sheetFormatPr baseColWidth="10" defaultRowHeight="15" x14ac:dyDescent="0.25"/>
  <cols>
    <col min="1" max="1" width="15.7109375" style="1" customWidth="1"/>
    <col min="2" max="20" width="11.42578125" style="1"/>
    <col min="21" max="21" width="15.85546875" style="1" customWidth="1"/>
    <col min="22" max="16384" width="11.42578125" style="1"/>
  </cols>
  <sheetData>
    <row r="4" spans="2:21" ht="20.25" customHeight="1" x14ac:dyDescent="0.25">
      <c r="U4" s="2"/>
    </row>
    <row r="5" spans="2:21" ht="22.5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2.5" customHeight="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18" customHeight="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19</xdr:col>
                    <xdr:colOff>238125</xdr:colOff>
                    <xdr:row>25</xdr:row>
                    <xdr:rowOff>28575</xdr:rowOff>
                  </from>
                  <to>
                    <xdr:col>20</xdr:col>
                    <xdr:colOff>600075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20</xdr:col>
                    <xdr:colOff>123825</xdr:colOff>
                    <xdr:row>25</xdr:row>
                    <xdr:rowOff>38100</xdr:rowOff>
                  </from>
                  <to>
                    <xdr:col>21</xdr:col>
                    <xdr:colOff>190500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DE8EA61DB34E8468A139E405E171F99" ma:contentTypeVersion="12" ma:contentTypeDescription="Crear nuevo documento." ma:contentTypeScope="" ma:versionID="a21a0f2d17d5b93e234420be8fc35108">
  <xsd:schema xmlns:xsd="http://www.w3.org/2001/XMLSchema" xmlns:xs="http://www.w3.org/2001/XMLSchema" xmlns:p="http://schemas.microsoft.com/office/2006/metadata/properties" xmlns:ns3="9a3c742c-eedd-41dd-a204-11293a6bb691" xmlns:ns4="f161811d-e8eb-4b29-94b2-c26450c15c82" targetNamespace="http://schemas.microsoft.com/office/2006/metadata/properties" ma:root="true" ma:fieldsID="a4f3b2e9015a5609814cf9a0dbb4f2a6" ns3:_="" ns4:_="">
    <xsd:import namespace="9a3c742c-eedd-41dd-a204-11293a6bb691"/>
    <xsd:import namespace="f161811d-e8eb-4b29-94b2-c26450c15c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3c742c-eedd-41dd-a204-11293a6bb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61811d-e8eb-4b29-94b2-c26450c15c8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3c742c-eedd-41dd-a204-11293a6bb69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53FFE41-D574-46B1-95E1-E7D2C73369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3c742c-eedd-41dd-a204-11293a6bb691"/>
    <ds:schemaRef ds:uri="f161811d-e8eb-4b29-94b2-c26450c15c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A7075B-D1B0-460B-A5D2-CA12BCAEF6F9}">
  <ds:schemaRefs>
    <ds:schemaRef ds:uri="f161811d-e8eb-4b29-94b2-c26450c15c82"/>
    <ds:schemaRef ds:uri="http://schemas.microsoft.com/office/2006/documentManagement/types"/>
    <ds:schemaRef ds:uri="9a3c742c-eedd-41dd-a204-11293a6bb691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A0656C3-4501-4BD0-837A-091F0C7B8E7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3DCF891-54DB-473F-85AC-24CBECF252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Dataset</vt:lpstr>
      <vt:lpstr>Analisis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Martín Pozo Carrera</dc:creator>
  <cp:lastModifiedBy>James Martín Pozo Carrera</cp:lastModifiedBy>
  <dcterms:created xsi:type="dcterms:W3CDTF">2024-05-15T01:03:55Z</dcterms:created>
  <dcterms:modified xsi:type="dcterms:W3CDTF">2024-05-18T03:43:34Z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0x010100ADE8EA61DB34E8468A139E405E171F99</vt:lpwstr>
  </property>
</Properties>
</file>