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ursos dashboard\Dashboards_CursoExcel\"/>
    </mc:Choice>
  </mc:AlternateContent>
  <xr:revisionPtr revIDLastSave="0" documentId="8_{CBBCF063-59D9-459A-87C5-2AA705394575}" xr6:coauthVersionLast="47" xr6:coauthVersionMax="47" xr10:uidLastSave="{00000000-0000-0000-0000-000000000000}"/>
  <bookViews>
    <workbookView xWindow="-120" yWindow="-120" windowWidth="29040" windowHeight="15840" xr2:uid="{D755F8F4-FEAB-494B-A80F-796BF19010D0}"/>
  </bookViews>
  <sheets>
    <sheet name="Dashboard" sheetId="4" r:id="rId1"/>
    <sheet name="Analisis" sheetId="5" r:id="rId2"/>
    <sheet name="Data_Transformada" sheetId="3" r:id="rId3"/>
    <sheet name="Raw data" sheetId="1" r:id="rId4"/>
  </sheets>
  <definedNames>
    <definedName name="_2G">Analisis!$E$8</definedName>
    <definedName name="_3G">Analisis!$E$9</definedName>
    <definedName name="_4G">Analisis!$E$10</definedName>
    <definedName name="DatosExternos_1" localSheetId="2" hidden="1">Data_Transformada!$A$1:$D$665</definedName>
    <definedName name="G2_">Analisis!$K$29</definedName>
    <definedName name="G3_">Analisis!$K$30</definedName>
    <definedName name="G4_">Analisis!$K$31</definedName>
    <definedName name="SegmentaciónDeDatos_Años__month">#N/A</definedName>
    <definedName name="Total_Sub">Analisis!$B$8</definedName>
  </definedNames>
  <calcPr calcId="191029"/>
  <pivotCaches>
    <pivotCache cacheId="6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7" i="5" l="1"/>
  <c r="U23" i="5"/>
  <c r="Q23" i="5" s="1"/>
  <c r="Q24" i="5"/>
  <c r="Y8" i="5"/>
  <c r="Y9" i="5"/>
  <c r="Y10" i="5"/>
  <c r="Y11" i="5"/>
  <c r="Y7" i="5"/>
  <c r="V7" i="5"/>
  <c r="V8" i="5"/>
  <c r="V9" i="5"/>
  <c r="W10" i="5" s="1"/>
  <c r="X10" i="5" s="1"/>
  <c r="V10" i="5"/>
  <c r="V11" i="5"/>
  <c r="V6" i="5"/>
  <c r="J30" i="5"/>
  <c r="J31" i="5"/>
  <c r="J29" i="5"/>
  <c r="J26" i="5"/>
  <c r="K26" i="5" s="1"/>
  <c r="K31" i="5" s="1"/>
  <c r="J25" i="5"/>
  <c r="J24" i="5"/>
  <c r="J23" i="5"/>
  <c r="K25" i="5" l="1"/>
  <c r="K30" i="5" s="1"/>
  <c r="W7" i="5"/>
  <c r="X7" i="5" s="1"/>
  <c r="K24" i="5"/>
  <c r="K29" i="5" s="1"/>
  <c r="W8" i="5"/>
  <c r="X8" i="5" s="1"/>
  <c r="W9" i="5"/>
  <c r="X9" i="5" s="1"/>
  <c r="U29" i="5"/>
  <c r="U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30D62C-2F2F-4AF7-9DE1-EEABC9808713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<sst xmlns="http://schemas.openxmlformats.org/spreadsheetml/2006/main" count="3463" uniqueCount="221">
  <si>
    <t>month</t>
  </si>
  <si>
    <t>network_access_technology</t>
  </si>
  <si>
    <t>type_of_plan</t>
  </si>
  <si>
    <t>number_of_subscriptions</t>
  </si>
  <si>
    <t>2004-07</t>
  </si>
  <si>
    <t>2G</t>
  </si>
  <si>
    <t>pre-paid</t>
  </si>
  <si>
    <t>post-paid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</si>
  <si>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</si>
  <si>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</si>
  <si>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</si>
  <si>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</si>
  <si>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</si>
  <si>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</si>
  <si>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</si>
  <si>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</si>
  <si>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</si>
  <si>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</si>
  <si>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3G</t>
  </si>
  <si>
    <t>pre and post paid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</si>
  <si>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</si>
  <si>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</si>
  <si>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</si>
  <si>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</si>
  <si>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</si>
  <si>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</si>
  <si>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</si>
  <si>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</si>
  <si>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</si>
  <si>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</si>
  <si>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</si>
  <si>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</si>
  <si>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</si>
  <si>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</si>
  <si>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</si>
  <si>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</si>
  <si>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</si>
  <si>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</si>
  <si>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</si>
  <si>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</si>
  <si>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</si>
  <si>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</si>
  <si>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</si>
  <si>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</si>
  <si>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</si>
  <si>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</si>
  <si>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</si>
  <si>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</si>
  <si>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</si>
  <si>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</si>
  <si>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</si>
  <si>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</si>
  <si>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</si>
  <si>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</si>
  <si>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</si>
  <si>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</si>
  <si>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</si>
  <si>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</si>
  <si>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</si>
  <si>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</si>
  <si>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</si>
  <si>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</si>
  <si>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</si>
  <si>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</si>
  <si>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</si>
  <si>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</si>
  <si>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</si>
  <si>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</si>
  <si>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</si>
  <si>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</si>
  <si>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</si>
  <si>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</si>
  <si>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</si>
  <si>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</si>
  <si>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</si>
  <si>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</si>
  <si>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</si>
  <si>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</si>
  <si>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</si>
  <si>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</si>
  <si>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</si>
  <si>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</si>
  <si>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</si>
  <si>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</si>
  <si>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</si>
  <si>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</si>
  <si>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</si>
  <si>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</si>
  <si>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</si>
  <si>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</si>
  <si>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</si>
  <si>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</si>
  <si>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</si>
  <si>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</si>
  <si>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</si>
  <si>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</si>
  <si>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</si>
  <si>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</si>
  <si>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</si>
  <si>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</si>
  <si>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</si>
  <si>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</si>
  <si>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</si>
  <si>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</si>
  <si>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</si>
  <si>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</si>
  <si>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</si>
  <si>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</si>
  <si>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</si>
  <si>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</si>
  <si>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</si>
  <si>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</si>
  <si>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</si>
  <si>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</si>
  <si>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4G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</si>
  <si>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</si>
  <si>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</si>
  <si>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</si>
  <si>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</si>
  <si>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</si>
  <si>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</si>
  <si>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</si>
  <si>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</si>
  <si>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</si>
  <si>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</si>
  <si>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</si>
  <si>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</si>
  <si>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</si>
  <si>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</si>
  <si>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</si>
  <si>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</si>
  <si>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</si>
  <si>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</si>
  <si>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</si>
  <si>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</si>
  <si>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</si>
  <si>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</si>
  <si>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</si>
  <si>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</si>
  <si>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</si>
  <si>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</si>
  <si>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</si>
  <si>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</si>
  <si>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</si>
  <si>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</si>
  <si>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</si>
  <si>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</si>
  <si>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</si>
  <si>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</si>
  <si>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</si>
  <si>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</si>
  <si>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</si>
  <si>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</si>
  <si>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</si>
  <si>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</si>
  <si>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</si>
  <si>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</si>
  <si>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</si>
  <si>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</si>
  <si>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</si>
  <si>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</si>
  <si>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</si>
  <si>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</si>
  <si>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</si>
  <si>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</si>
  <si>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</si>
  <si>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</si>
  <si>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</si>
  <si>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</si>
  <si>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</si>
  <si>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Suma de number_of_subscriptions</t>
  </si>
  <si>
    <t>Etiquetas de fila</t>
  </si>
  <si>
    <t>Total general</t>
  </si>
  <si>
    <t>Total Sub</t>
  </si>
  <si>
    <t>2010</t>
  </si>
  <si>
    <t>2013</t>
  </si>
  <si>
    <t>2014</t>
  </si>
  <si>
    <t>2015</t>
  </si>
  <si>
    <t>2016</t>
  </si>
  <si>
    <t>2017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</si>
  <si>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</si>
  <si>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</si>
  <si>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</si>
  <si>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</si>
  <si>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</si>
  <si>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</si>
  <si>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</si>
  <si>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</si>
  <si>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</si>
  <si>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</si>
  <si>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</si>
  <si>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</si>
  <si>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Trim.1</t>
  </si>
  <si>
    <t>Trim.2</t>
  </si>
  <si>
    <t>Trim.3</t>
  </si>
  <si>
    <t>Trim.4</t>
  </si>
  <si>
    <t>(Todas)</t>
  </si>
  <si>
    <t>Total</t>
  </si>
  <si>
    <t>G2</t>
  </si>
  <si>
    <t>G3</t>
  </si>
  <si>
    <t>G4</t>
  </si>
  <si>
    <t>porcentaje</t>
  </si>
  <si>
    <t>diferencia</t>
  </si>
  <si>
    <t>-+signo</t>
  </si>
  <si>
    <t>value diff</t>
  </si>
  <si>
    <t>Captura 1</t>
  </si>
  <si>
    <t>Captura 2</t>
  </si>
  <si>
    <t xml:space="preserve">Captura 3 </t>
  </si>
  <si>
    <t>Etiquetas de columna</t>
  </si>
  <si>
    <t>2004</t>
  </si>
  <si>
    <t>2005</t>
  </si>
  <si>
    <t>2006</t>
  </si>
  <si>
    <t>2007</t>
  </si>
  <si>
    <t>2008</t>
  </si>
  <si>
    <t>2009</t>
  </si>
  <si>
    <t>2011</t>
  </si>
  <si>
    <t>2012</t>
  </si>
  <si>
    <t>Cuenta de number_of_subscriptions</t>
  </si>
  <si>
    <t>pre-pago</t>
  </si>
  <si>
    <t>post-pago</t>
  </si>
  <si>
    <t>pre y post pago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</si>
</sst>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;@"/>
    <numFmt numFmtId="165" formatCode="0.0%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27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9" formatCode="d/m/yyyy"/>
    </dxf>
    <dxf>
      <font>
        <b/>
        <color theme="1"/>
      </font>
      <fill>
        <patternFill patternType="none">
          <bgColor auto="1"/>
        </patternFill>
      </fill>
      <border>
        <bottom style="thin">
          <color theme="4"/>
        </bottom>
        <vertical/>
        <horizontal/>
      </border>
    </dxf>
    <dxf>
      <font>
        <sz val="18"/>
        <color theme="0"/>
      </font>
      <fill>
        <patternFill patternType="solid">
          <bgColor rgb="FF14161E"/>
        </patternFill>
      </fill>
      <border diagonalUp="0" diagonalDown="0">
        <left/>
        <right/>
        <top/>
        <bottom/>
        <vertical/>
        <horizontal/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dd/mm/yy;@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1" defaultTableStyle="TableStyleMedium2" defaultPivotStyle="PivotStyleLight16">
    <tableStyle name="SlicerMobile" pivot="0" table="0" count="10" xr9:uid="{38FE4E7D-288E-4540-A4FA-5D45E2D30333}">
      <tableStyleElement type="wholeTable" dxfId="11"/>
      <tableStyleElement type="headerRow" dxfId="10"/>
    </tableStyle>
  </tableStyles>
  <colors>
    <mruColors>
      <color rgb="FF14161E"/>
      <color rgb="FF641414"/>
      <color rgb="FF1F1C2A"/>
      <color rgb="FF1F1C28"/>
      <color rgb="FF5AAE8C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14161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/>
          </font>
          <fill>
            <patternFill patternType="none">
              <fgColor indexed="64"/>
              <bgColor auto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Mobil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[Red_movil.xlsm]Analisis!TablaDinámica9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Analisis!$H$5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Analisis!$G$6:$G$18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Analisis!$H$6:$H$18</c:f>
              <c:numCache>
                <c:formatCode>#,##0</c:formatCode>
                <c:ptCount val="12"/>
                <c:pt idx="0">
                  <c:v>88205900</c:v>
                </c:pt>
                <c:pt idx="1">
                  <c:v>178018400</c:v>
                </c:pt>
                <c:pt idx="2">
                  <c:v>168469400</c:v>
                </c:pt>
                <c:pt idx="3">
                  <c:v>105243600</c:v>
                </c:pt>
                <c:pt idx="4">
                  <c:v>90331800</c:v>
                </c:pt>
                <c:pt idx="5">
                  <c:v>89764400</c:v>
                </c:pt>
                <c:pt idx="6">
                  <c:v>131500800</c:v>
                </c:pt>
                <c:pt idx="7">
                  <c:v>101947900</c:v>
                </c:pt>
                <c:pt idx="8">
                  <c:v>94747800</c:v>
                </c:pt>
                <c:pt idx="9">
                  <c:v>95010900</c:v>
                </c:pt>
                <c:pt idx="10">
                  <c:v>156615700</c:v>
                </c:pt>
                <c:pt idx="11">
                  <c:v>87803600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E-42AB-86DE-AB437BB72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411775"/>
        <c:axId val="354435775"/>
      </c:barChart>
      <c:catAx>
        <c:axId val="3544117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54435775"/>
        <c:crosses val="autoZero"/>
        <c:auto val="1"/>
        <c:lblAlgn val="ctr"/>
        <c:lblOffset val="100"/>
        <c:noMultiLvlLbl val="0"/>
      </c:catAx>
      <c:valAx>
        <c:axId val="35443577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354411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[Red_movil.xlsm]Analisis!TablaDinámica10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Analisis!$K$5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Analisis!$J$6:$J$18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Analisis!$K$6:$K$18</c:f>
              <c:numCache>
                <c:formatCode>#,##0</c:formatCode>
                <c:ptCount val="12"/>
                <c:pt idx="0">
                  <c:v>30898900</c:v>
                </c:pt>
                <c:pt idx="1">
                  <c:v>30600900</c:v>
                </c:pt>
                <c:pt idx="2">
                  <c:v>29715500</c:v>
                </c:pt>
                <c:pt idx="3">
                  <c:v>29358900</c:v>
                </c:pt>
                <c:pt idx="4">
                  <c:v>28968200</c:v>
                </c:pt>
                <c:pt idx="5">
                  <c:v>28602800</c:v>
                </c:pt>
                <c:pt idx="6">
                  <c:v>32176800</c:v>
                </c:pt>
                <c:pt idx="7">
                  <c:v>31968100</c:v>
                </c:pt>
                <c:pt idx="8">
                  <c:v>31765200</c:v>
                </c:pt>
                <c:pt idx="9">
                  <c:v>31471100</c:v>
                </c:pt>
                <c:pt idx="10">
                  <c:v>31208400</c:v>
                </c:pt>
                <c:pt idx="11">
                  <c:v>31112800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E-495B-8A4F-43CFEB655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432415"/>
        <c:axId val="354424255"/>
      </c:barChart>
      <c:catAx>
        <c:axId val="3544324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54424255"/>
        <c:crosses val="autoZero"/>
        <c:auto val="1"/>
        <c:lblAlgn val="ctr"/>
        <c:lblOffset val="100"/>
        <c:noMultiLvlLbl val="0"/>
      </c:catAx>
      <c:valAx>
        <c:axId val="35442425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354432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[Red_movil.xlsm]Analisis!TablaDinámica11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Analisis!$N$5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Analisis!$M$6:$M$18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Analisis!$N$6:$N$18</c:f>
              <c:numCache>
                <c:formatCode>#,##0</c:formatCode>
                <c:ptCount val="12"/>
                <c:pt idx="0">
                  <c:v>42065400</c:v>
                </c:pt>
                <c:pt idx="1">
                  <c:v>42220200</c:v>
                </c:pt>
                <c:pt idx="2">
                  <c:v>42339700</c:v>
                </c:pt>
                <c:pt idx="3">
                  <c:v>42645400</c:v>
                </c:pt>
                <c:pt idx="4">
                  <c:v>42835500</c:v>
                </c:pt>
                <c:pt idx="5">
                  <c:v>43147000</c:v>
                </c:pt>
                <c:pt idx="6">
                  <c:v>43589200</c:v>
                </c:pt>
                <c:pt idx="7">
                  <c:v>43813600</c:v>
                </c:pt>
                <c:pt idx="8">
                  <c:v>44039500</c:v>
                </c:pt>
                <c:pt idx="9">
                  <c:v>44321000</c:v>
                </c:pt>
                <c:pt idx="10">
                  <c:v>42215000</c:v>
                </c:pt>
                <c:pt idx="11">
                  <c:v>42526900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C5-4BFE-99E8-8273D45B2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4415615"/>
        <c:axId val="354423295"/>
      </c:barChart>
      <c:catAx>
        <c:axId val="35441561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54423295"/>
        <c:crosses val="autoZero"/>
        <c:auto val="1"/>
        <c:lblAlgn val="ctr"/>
        <c:lblOffset val="100"/>
        <c:noMultiLvlLbl val="0"/>
      </c:catAx>
      <c:valAx>
        <c:axId val="354423295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354415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[Red_movil.xlsm]Analisis!TablaDinámica12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Analisis!$Q$5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Analisis!$P$6:$P$18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Analisis!$Q$6:$Q$18</c:f>
              <c:numCache>
                <c:formatCode>#,##0</c:formatCode>
                <c:ptCount val="12"/>
                <c:pt idx="0">
                  <c:v>15241600</c:v>
                </c:pt>
                <c:pt idx="1">
                  <c:v>105197300</c:v>
                </c:pt>
                <c:pt idx="2">
                  <c:v>96414200</c:v>
                </c:pt>
                <c:pt idx="3">
                  <c:v>33239300</c:v>
                </c:pt>
                <c:pt idx="4">
                  <c:v>18528100</c:v>
                </c:pt>
                <c:pt idx="5">
                  <c:v>18014600</c:v>
                </c:pt>
                <c:pt idx="6">
                  <c:v>55734800</c:v>
                </c:pt>
                <c:pt idx="7">
                  <c:v>26166200</c:v>
                </c:pt>
                <c:pt idx="8">
                  <c:v>18943100</c:v>
                </c:pt>
                <c:pt idx="9">
                  <c:v>19218800</c:v>
                </c:pt>
                <c:pt idx="10">
                  <c:v>83192300</c:v>
                </c:pt>
                <c:pt idx="11">
                  <c:v>14163900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2-4E6F-8D86-092457322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6508879"/>
        <c:axId val="246519439"/>
      </c:barChart>
      <c:catAx>
        <c:axId val="2465088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46519439"/>
        <c:crosses val="autoZero"/>
        <c:auto val="1"/>
        <c:lblAlgn val="ctr"/>
        <c:lblOffset val="100"/>
        <c:noMultiLvlLbl val="0"/>
      </c:catAx>
      <c:valAx>
        <c:axId val="246519439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46508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[Red_movil.xlsm]Analisis!TablaDinámica16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</c:pivotFmt>
      <c:pivotFmt>
        <c:idx val="9"/>
        <c:spPr>
          <a:solidFill>
            <a:srgbClr val="FFFF00"/>
          </a:solidFill>
          <a:ln>
            <a:noFill/>
          </a:ln>
          <a:effectLst/>
        </c:spPr>
      </c:pivotFmt>
      <c:pivotFmt>
        <c:idx val="10"/>
        <c:spPr>
          <a:solidFill>
            <a:srgbClr val="7030A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Analisis!$AC$12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BF-46A4-8E9E-50072F9F9BC9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8BF-46A4-8E9E-50072F9F9BC9}"/>
              </c:ext>
            </c:extLst>
          </c:dPt>
          <c:dPt>
            <c:idx val="2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BF-46A4-8E9E-50072F9F9B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8BF-46A4-8E9E-50072F9F9BC9}"/>
              </c:ext>
            </c:extLst>
          </c:dPt>
          <c:cat>
            <c:strRef>
              <c:f>Analisis!$AB$13:$AB$16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Analisis!$AC$13:$AC$16</c:f>
              <c:numCache>
                <c:formatCode>#,##0</c:formatCode>
                <c:ptCount val="4"/>
                <c:pt idx="0">
                  <c:v>434693700</c:v>
                </c:pt>
                <c:pt idx="1">
                  <c:v>285339800</c:v>
                </c:pt>
                <c:pt idx="2">
                  <c:v>328196500</c:v>
                </c:pt>
                <c:pt idx="3">
                  <c:v>339430200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BF-46A4-8E9E-50072F9F9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4406975"/>
        <c:axId val="354426175"/>
      </c:barChart>
      <c:catAx>
        <c:axId val="3544069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54426175"/>
        <c:crosses val="autoZero"/>
        <c:auto val="1"/>
        <c:lblAlgn val="ctr"/>
        <c:lblOffset val="100"/>
        <c:noMultiLvlLbl val="0"/>
      </c:catAx>
      <c:valAx>
        <c:axId val="354426175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54406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[Red_movil.xlsm]Analisis!TablaDinámica15</c:name>
    <c:fmtId val="2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Analisis!$AC$5:$AC$6</c:f>
              <c:strCache>
                <c:ptCount val="1"/>
                <c:pt idx="0">
                  <c:v>2G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Analisis!$AB$7:$AB$9</c:f>
              <c:strCache>
                <c:ptCount val="3"/>
                <c:pt idx="0">
                  <c:v>pre-pago</c:v>
                </c:pt>
                <c:pt idx="1">
                  <c:v>post-pago</c:v>
                </c:pt>
                <c:pt idx="2">
                  <c:v>pre y post pago</c:v>
                </c:pt>
              </c:strCache>
            </c:strRef>
          </c:cat>
          <c:val>
            <c:numRef>
              <c:f>Analisis!$AC$7:$AC$9</c:f>
              <c:numCache>
                <c:formatCode>#,##0</c:formatCode>
                <c:ptCount val="3"/>
                <c:pt idx="0">
                  <c:v>153776000</c:v>
                </c:pt>
                <c:pt idx="1">
                  <c:v>214071600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CA-4CB6-A8EE-6690F9307952}"/>
            </c:ext>
          </c:extLst>
        </c:ser>
        <c:ser>
          <c:idx val="1"/>
          <c:order val="1"/>
          <c:tx>
            <c:strRef>
              <c:f>Analisis!$AD$5:$AD$6</c:f>
              <c:strCache>
                <c:ptCount val="1"/>
                <c:pt idx="0">
                  <c:v>3G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Analisis!$AB$7:$AB$9</c:f>
              <c:strCache>
                <c:ptCount val="3"/>
                <c:pt idx="0">
                  <c:v>pre-pago</c:v>
                </c:pt>
                <c:pt idx="1">
                  <c:v>post-pago</c:v>
                </c:pt>
                <c:pt idx="2">
                  <c:v>pre y post pago</c:v>
                </c:pt>
              </c:strCache>
            </c:strRef>
          </c:cat>
          <c:val>
            <c:numRef>
              <c:f>Analisis!$AD$7:$AD$9</c:f>
              <c:numCache>
                <c:formatCode>#,##0</c:formatCode>
                <c:ptCount val="3"/>
                <c:pt idx="0">
                  <c:v>240294000</c:v>
                </c:pt>
                <c:pt idx="1">
                  <c:v>196885500</c:v>
                </c:pt>
                <c:pt idx="2">
                  <c:v>78578900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5CA-4CB6-A8EE-6690F9307952}"/>
            </c:ext>
          </c:extLst>
        </c:ser>
        <c:ser>
          <c:idx val="2"/>
          <c:order val="2"/>
          <c:tx>
            <c:strRef>
              <c:f>Analisis!$AE$5:$AE$6</c:f>
              <c:strCache>
                <c:ptCount val="1"/>
                <c:pt idx="0">
                  <c:v>4G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Analisis!$AB$7:$AB$9</c:f>
              <c:strCache>
                <c:ptCount val="3"/>
                <c:pt idx="0">
                  <c:v>pre-pago</c:v>
                </c:pt>
                <c:pt idx="1">
                  <c:v>post-pago</c:v>
                </c:pt>
                <c:pt idx="2">
                  <c:v>pre y post pago</c:v>
                </c:pt>
              </c:strCache>
            </c:strRef>
          </c:cat>
          <c:val>
            <c:numRef>
              <c:f>Analisis!$AE$7:$AE$9</c:f>
              <c:numCache>
                <c:formatCode>#,##0</c:formatCode>
                <c:ptCount val="3"/>
                <c:pt idx="0">
                  <c:v>163540700</c:v>
                </c:pt>
                <c:pt idx="1">
                  <c:v>295953100</c:v>
                </c:pt>
                <c:pt idx="2">
                  <c:v>44560400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5CA-4CB6-A8EE-6690F9307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9294639"/>
        <c:axId val="329290799"/>
      </c:barChart>
      <c:catAx>
        <c:axId val="329294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29290799"/>
        <c:crosses val="autoZero"/>
        <c:auto val="1"/>
        <c:lblAlgn val="ctr"/>
        <c:lblOffset val="100"/>
        <c:noMultiLvlLbl val="0"/>
      </c:catAx>
      <c:valAx>
        <c:axId val="329290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329294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[Red_movil.xlsm]Analisis!TablaDinámica1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4141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Analisis!$AH$5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41414"/>
            </a:solidFill>
            <a:ln w="25400">
              <a:noFill/>
            </a:ln>
            <a:effectLst/>
          </c:spPr>
          <c:cat>
            <c:strRef>
              <c:f>Analisis!$AG$6:$AG$8</c:f>
              <c:strCache>
                <c:ptCount val="3"/>
                <c:pt idx="0">
                  <c:v>2G</c:v>
                </c:pt>
                <c:pt idx="1">
                  <c:v>3G</c:v>
                </c:pt>
                <c:pt idx="2">
                  <c:v>4G</c:v>
                </c:pt>
              </c:strCache>
            </c:strRef>
          </c:cat>
          <c:val>
            <c:numRef>
              <c:f>Analisis!$AH$6:$AH$8</c:f>
              <c:numCache>
                <c:formatCode>#,##0</c:formatCode>
                <c:ptCount val="3"/>
                <c:pt idx="0">
                  <c:v>320</c:v>
                </c:pt>
                <c:pt idx="1">
                  <c:v>245</c:v>
                </c:pt>
                <c:pt idx="2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BE-4C54-B2CB-89D7B9CE1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4260351"/>
        <c:axId val="984255071"/>
      </c:areaChart>
      <c:catAx>
        <c:axId val="984260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84255071"/>
        <c:crosses val="autoZero"/>
        <c:auto val="1"/>
        <c:lblAlgn val="ctr"/>
        <c:lblOffset val="100"/>
        <c:noMultiLvlLbl val="0"/>
      </c:catAx>
      <c:valAx>
        <c:axId val="98425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8426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[Red_movil.xlsm]Analisis!TablaDinámica2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75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Analisis!$AL$5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25400">
              <a:noFill/>
            </a:ln>
            <a:effectLst/>
          </c:spPr>
          <c:cat>
            <c:strRef>
              <c:f>Analisis!$AK$6:$AK$8</c:f>
              <c:strCache>
                <c:ptCount val="3"/>
                <c:pt idx="0">
                  <c:v>pre-pago</c:v>
                </c:pt>
                <c:pt idx="1">
                  <c:v>post-pago</c:v>
                </c:pt>
                <c:pt idx="2">
                  <c:v>pre y post pago</c:v>
                </c:pt>
              </c:strCache>
            </c:strRef>
          </c:cat>
          <c:val>
            <c:numRef>
              <c:f>Analisis!$AL$6:$AL$8</c:f>
              <c:numCache>
                <c:formatCode>#,##0</c:formatCode>
                <c:ptCount val="3"/>
                <c:pt idx="0">
                  <c:v>298</c:v>
                </c:pt>
                <c:pt idx="1">
                  <c:v>298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48-4548-B306-65E64B28B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4254591"/>
        <c:axId val="984255551"/>
      </c:areaChart>
      <c:catAx>
        <c:axId val="984254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84255551"/>
        <c:crosses val="autoZero"/>
        <c:auto val="1"/>
        <c:lblAlgn val="ctr"/>
        <c:lblOffset val="100"/>
        <c:noMultiLvlLbl val="0"/>
      </c:catAx>
      <c:valAx>
        <c:axId val="984255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8425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419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285749</xdr:colOff>
      <xdr:row>8</xdr:row>
      <xdr:rowOff>19050</xdr:rowOff>
    </xdr:from>
    <xdr:to>
      <xdr:col>18</xdr:col>
      <xdr:colOff>133349</xdr:colOff>
      <xdr:row>37</xdr:row>
      <xdr:rowOff>163830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6CEBC5E-0B0D-47EE-B160-ABFE451380A6}"/>
            </a:ext>
          </a:extLst>
        </xdr:cNvPr>
        <xdr:cNvSpPr/>
      </xdr:nvSpPr>
      <xdr:spPr>
        <a:xfrm>
          <a:off x="3333749" y="1543050"/>
          <a:ext cx="10515600" cy="5669280"/>
        </a:xfrm>
        <a:prstGeom prst="roundRect">
          <a:avLst>
            <a:gd name="adj" fmla="val 3562"/>
          </a:avLst>
        </a:prstGeom>
        <a:solidFill>
          <a:srgbClr val="14161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4</xdr:col>
      <xdr:colOff>285749</xdr:colOff>
      <xdr:row>8</xdr:row>
      <xdr:rowOff>19050</xdr:rowOff>
    </xdr:from>
    <xdr:to>
      <xdr:col>18</xdr:col>
      <xdr:colOff>133349</xdr:colOff>
      <xdr:row>37</xdr:row>
      <xdr:rowOff>163830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6067B1C-1357-D867-AA4B-F7008FB83333}"/>
            </a:ext>
          </a:extLst>
        </xdr:cNvPr>
        <xdr:cNvSpPr/>
      </xdr:nvSpPr>
      <xdr:spPr>
        <a:xfrm>
          <a:off x="3333749" y="1543050"/>
          <a:ext cx="10515600" cy="5669280"/>
        </a:xfrm>
        <a:prstGeom prst="roundRect">
          <a:avLst>
            <a:gd name="adj" fmla="val 3562"/>
          </a:avLst>
        </a:prstGeom>
        <a:noFill/>
        <a:ln w="4762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438150</xdr:colOff>
      <xdr:row>3</xdr:row>
      <xdr:rowOff>85725</xdr:rowOff>
    </xdr:to>
    <xdr:sp macro="" textlink="Analisis!U31">
      <xdr:nvSpPr>
        <xdr:cNvPr id="4" name="Rectángulo 3">
          <a:extLst>
            <a:ext uri="{FF2B5EF4-FFF2-40B4-BE49-F238E27FC236}">
              <a16:creationId xmlns:a16="http://schemas.microsoft.com/office/drawing/2014/main" id="{AD2EE82D-697A-7623-6975-9B4A1C70C813}"/>
            </a:ext>
          </a:extLst>
        </xdr:cNvPr>
        <xdr:cNvSpPr/>
      </xdr:nvSpPr>
      <xdr:spPr>
        <a:xfrm>
          <a:off x="0" y="0"/>
          <a:ext cx="17964150" cy="657225"/>
        </a:xfrm>
        <a:prstGeom prst="rect">
          <a:avLst/>
        </a:prstGeom>
        <a:solidFill>
          <a:srgbClr val="5AAE8C">
            <a:alpha val="2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D8C1E7-FD33-4C50-BD21-66B62E869BE3}" type="TxLink">
            <a:rPr lang="en-US" sz="1100" b="1" i="1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4G fue presentado en el 2013 con solo 37,749,600 SUSCRIPTORES en el primer año</a:t>
          </a:fld>
          <a:endParaRPr lang="es-419" sz="110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609600</xdr:colOff>
      <xdr:row>8</xdr:row>
      <xdr:rowOff>152401</xdr:rowOff>
    </xdr:from>
    <xdr:to>
      <xdr:col>11</xdr:col>
      <xdr:colOff>219075</xdr:colOff>
      <xdr:row>11</xdr:row>
      <xdr:rowOff>19051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777C7FB2-B444-6EBE-5603-903FB3CF6628}"/>
            </a:ext>
          </a:extLst>
        </xdr:cNvPr>
        <xdr:cNvSpPr txBox="1"/>
      </xdr:nvSpPr>
      <xdr:spPr>
        <a:xfrm>
          <a:off x="5181600" y="1676401"/>
          <a:ext cx="341947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600" b="1">
              <a:solidFill>
                <a:schemeClr val="bg1"/>
              </a:solidFill>
            </a:rPr>
            <a:t>Dashboard de suscripcion</a:t>
          </a:r>
          <a:r>
            <a:rPr lang="es-419" sz="1600" b="1" baseline="0">
              <a:solidFill>
                <a:schemeClr val="bg1"/>
              </a:solidFill>
            </a:rPr>
            <a:t> a red movil</a:t>
          </a:r>
          <a:endParaRPr lang="es-419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695324</xdr:colOff>
      <xdr:row>12</xdr:row>
      <xdr:rowOff>85724</xdr:rowOff>
    </xdr:from>
    <xdr:to>
      <xdr:col>9</xdr:col>
      <xdr:colOff>558164</xdr:colOff>
      <xdr:row>18</xdr:row>
      <xdr:rowOff>104012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FA1CB641-F201-14D5-3CA9-5FC174473529}"/>
            </a:ext>
          </a:extLst>
        </xdr:cNvPr>
        <xdr:cNvSpPr/>
      </xdr:nvSpPr>
      <xdr:spPr>
        <a:xfrm>
          <a:off x="5267324" y="2371724"/>
          <a:ext cx="2148840" cy="1161288"/>
        </a:xfrm>
        <a:prstGeom prst="roundRect">
          <a:avLst>
            <a:gd name="adj" fmla="val 7645"/>
          </a:avLst>
        </a:prstGeom>
        <a:solidFill>
          <a:srgbClr val="1F1C2A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10</xdr:col>
      <xdr:colOff>114299</xdr:colOff>
      <xdr:row>12</xdr:row>
      <xdr:rowOff>95249</xdr:rowOff>
    </xdr:from>
    <xdr:to>
      <xdr:col>12</xdr:col>
      <xdr:colOff>739139</xdr:colOff>
      <xdr:row>18</xdr:row>
      <xdr:rowOff>113537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FB7F7E18-E9D6-4E67-8FD9-423433631B31}"/>
            </a:ext>
          </a:extLst>
        </xdr:cNvPr>
        <xdr:cNvSpPr/>
      </xdr:nvSpPr>
      <xdr:spPr>
        <a:xfrm>
          <a:off x="7734299" y="2381249"/>
          <a:ext cx="2148840" cy="1161288"/>
        </a:xfrm>
        <a:prstGeom prst="roundRect">
          <a:avLst>
            <a:gd name="adj" fmla="val 7645"/>
          </a:avLst>
        </a:prstGeom>
        <a:solidFill>
          <a:srgbClr val="1F1C2A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6</xdr:col>
      <xdr:colOff>704849</xdr:colOff>
      <xdr:row>20</xdr:row>
      <xdr:rowOff>47624</xdr:rowOff>
    </xdr:from>
    <xdr:to>
      <xdr:col>9</xdr:col>
      <xdr:colOff>567689</xdr:colOff>
      <xdr:row>26</xdr:row>
      <xdr:rowOff>65912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1CCFC79-B524-43E3-B529-BDB9EC8E1B3C}"/>
            </a:ext>
          </a:extLst>
        </xdr:cNvPr>
        <xdr:cNvSpPr/>
      </xdr:nvSpPr>
      <xdr:spPr>
        <a:xfrm>
          <a:off x="5276849" y="3857624"/>
          <a:ext cx="2148840" cy="1161288"/>
        </a:xfrm>
        <a:prstGeom prst="roundRect">
          <a:avLst>
            <a:gd name="adj" fmla="val 7645"/>
          </a:avLst>
        </a:prstGeom>
        <a:solidFill>
          <a:srgbClr val="1F1C2A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10</xdr:col>
      <xdr:colOff>114299</xdr:colOff>
      <xdr:row>20</xdr:row>
      <xdr:rowOff>47624</xdr:rowOff>
    </xdr:from>
    <xdr:to>
      <xdr:col>12</xdr:col>
      <xdr:colOff>739139</xdr:colOff>
      <xdr:row>26</xdr:row>
      <xdr:rowOff>65912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470EC2-8587-4D64-BE30-BA4F1FA908F6}"/>
            </a:ext>
          </a:extLst>
        </xdr:cNvPr>
        <xdr:cNvSpPr/>
      </xdr:nvSpPr>
      <xdr:spPr>
        <a:xfrm>
          <a:off x="7734299" y="3857624"/>
          <a:ext cx="2148840" cy="1161288"/>
        </a:xfrm>
        <a:prstGeom prst="roundRect">
          <a:avLst>
            <a:gd name="adj" fmla="val 7645"/>
          </a:avLst>
        </a:prstGeom>
        <a:solidFill>
          <a:srgbClr val="1F1C2A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7</xdr:col>
      <xdr:colOff>19050</xdr:colOff>
      <xdr:row>14</xdr:row>
      <xdr:rowOff>33337</xdr:rowOff>
    </xdr:from>
    <xdr:to>
      <xdr:col>8</xdr:col>
      <xdr:colOff>619125</xdr:colOff>
      <xdr:row>16</xdr:row>
      <xdr:rowOff>19050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1F72EC56-6B28-C5FD-ABDE-4A39A121A852}"/>
            </a:ext>
          </a:extLst>
        </xdr:cNvPr>
        <xdr:cNvSpPr txBox="1"/>
      </xdr:nvSpPr>
      <xdr:spPr>
        <a:xfrm>
          <a:off x="5353050" y="2700337"/>
          <a:ext cx="1362075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>
              <a:solidFill>
                <a:schemeClr val="bg1"/>
              </a:solidFill>
            </a:rPr>
            <a:t>Suscripcion</a:t>
          </a:r>
          <a:r>
            <a:rPr lang="es-419" sz="1100" baseline="0">
              <a:solidFill>
                <a:schemeClr val="bg1"/>
              </a:solidFill>
            </a:rPr>
            <a:t> Total</a:t>
          </a:r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200025</xdr:colOff>
      <xdr:row>14</xdr:row>
      <xdr:rowOff>23812</xdr:rowOff>
    </xdr:from>
    <xdr:to>
      <xdr:col>12</xdr:col>
      <xdr:colOff>38100</xdr:colOff>
      <xdr:row>16</xdr:row>
      <xdr:rowOff>9525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5D245BB4-32D7-4DAE-8B40-F95133D0F3E5}"/>
            </a:ext>
          </a:extLst>
        </xdr:cNvPr>
        <xdr:cNvSpPr txBox="1"/>
      </xdr:nvSpPr>
      <xdr:spPr>
        <a:xfrm>
          <a:off x="7820025" y="2690812"/>
          <a:ext cx="1362075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>
              <a:solidFill>
                <a:schemeClr val="bg1"/>
              </a:solidFill>
            </a:rPr>
            <a:t>Suscripcion 2G</a:t>
          </a:r>
        </a:p>
      </xdr:txBody>
    </xdr:sp>
    <xdr:clientData/>
  </xdr:twoCellAnchor>
  <xdr:twoCellAnchor>
    <xdr:from>
      <xdr:col>7</xdr:col>
      <xdr:colOff>133350</xdr:colOff>
      <xdr:row>21</xdr:row>
      <xdr:rowOff>185737</xdr:rowOff>
    </xdr:from>
    <xdr:to>
      <xdr:col>8</xdr:col>
      <xdr:colOff>733425</xdr:colOff>
      <xdr:row>23</xdr:row>
      <xdr:rowOff>171450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8A3D05B0-CB1B-4143-B7A6-D3B35988AE7C}"/>
            </a:ext>
          </a:extLst>
        </xdr:cNvPr>
        <xdr:cNvSpPr txBox="1"/>
      </xdr:nvSpPr>
      <xdr:spPr>
        <a:xfrm>
          <a:off x="5467350" y="4186237"/>
          <a:ext cx="1362075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>
              <a:solidFill>
                <a:schemeClr val="bg1"/>
              </a:solidFill>
            </a:rPr>
            <a:t>Suscripcion</a:t>
          </a:r>
          <a:r>
            <a:rPr lang="es-419" sz="1100" baseline="0">
              <a:solidFill>
                <a:schemeClr val="bg1"/>
              </a:solidFill>
            </a:rPr>
            <a:t> 3</a:t>
          </a:r>
          <a:r>
            <a:rPr lang="es-419" sz="1100">
              <a:solidFill>
                <a:schemeClr val="bg1"/>
              </a:solidFill>
            </a:rPr>
            <a:t>G</a:t>
          </a:r>
        </a:p>
      </xdr:txBody>
    </xdr:sp>
    <xdr:clientData/>
  </xdr:twoCellAnchor>
  <xdr:twoCellAnchor>
    <xdr:from>
      <xdr:col>10</xdr:col>
      <xdr:colOff>247650</xdr:colOff>
      <xdr:row>21</xdr:row>
      <xdr:rowOff>157162</xdr:rowOff>
    </xdr:from>
    <xdr:to>
      <xdr:col>12</xdr:col>
      <xdr:colOff>85725</xdr:colOff>
      <xdr:row>23</xdr:row>
      <xdr:rowOff>142875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5A1DBA-8776-4BF9-A127-B5F271737884}"/>
            </a:ext>
          </a:extLst>
        </xdr:cNvPr>
        <xdr:cNvSpPr txBox="1"/>
      </xdr:nvSpPr>
      <xdr:spPr>
        <a:xfrm>
          <a:off x="7867650" y="4157662"/>
          <a:ext cx="1362075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>
              <a:solidFill>
                <a:schemeClr val="bg1"/>
              </a:solidFill>
            </a:rPr>
            <a:t>Suscripcion</a:t>
          </a:r>
          <a:r>
            <a:rPr lang="es-419" sz="1100" baseline="0">
              <a:solidFill>
                <a:schemeClr val="bg1"/>
              </a:solidFill>
            </a:rPr>
            <a:t> 4</a:t>
          </a:r>
          <a:r>
            <a:rPr lang="es-419" sz="1100">
              <a:solidFill>
                <a:schemeClr val="bg1"/>
              </a:solidFill>
            </a:rPr>
            <a:t>G</a:t>
          </a:r>
        </a:p>
      </xdr:txBody>
    </xdr:sp>
    <xdr:clientData/>
  </xdr:twoCellAnchor>
  <xdr:twoCellAnchor>
    <xdr:from>
      <xdr:col>7</xdr:col>
      <xdr:colOff>19050</xdr:colOff>
      <xdr:row>12</xdr:row>
      <xdr:rowOff>23812</xdr:rowOff>
    </xdr:from>
    <xdr:to>
      <xdr:col>8</xdr:col>
      <xdr:colOff>619125</xdr:colOff>
      <xdr:row>14</xdr:row>
      <xdr:rowOff>142875</xdr:rowOff>
    </xdr:to>
    <xdr:sp macro="" textlink="Total_Sub">
      <xdr:nvSpPr>
        <xdr:cNvPr id="14" name="CuadroTexto 13">
          <a:extLst>
            <a:ext uri="{FF2B5EF4-FFF2-40B4-BE49-F238E27FC236}">
              <a16:creationId xmlns:a16="http://schemas.microsoft.com/office/drawing/2014/main" id="{981B5884-9BF2-4344-96CB-70131EF497D3}"/>
            </a:ext>
          </a:extLst>
        </xdr:cNvPr>
        <xdr:cNvSpPr txBox="1"/>
      </xdr:nvSpPr>
      <xdr:spPr>
        <a:xfrm>
          <a:off x="5353050" y="2309812"/>
          <a:ext cx="1362075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64FFFCB-23EB-4B7C-A892-EEC8E1DEE052}" type="TxLink">
            <a:rPr lang="en-US" sz="2800" b="1" i="0" u="none" strike="noStrike">
              <a:solidFill>
                <a:schemeClr val="bg1"/>
              </a:solidFill>
              <a:latin typeface="Agency FB" panose="020B0503020202020204" pitchFamily="34" charset="0"/>
              <a:cs typeface="Calibri"/>
            </a:rPr>
            <a:pPr/>
            <a:t>1,387,660,200</a:t>
          </a:fld>
          <a:endParaRPr lang="es-419" sz="2800" b="1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200025</xdr:colOff>
      <xdr:row>12</xdr:row>
      <xdr:rowOff>33337</xdr:rowOff>
    </xdr:from>
    <xdr:to>
      <xdr:col>12</xdr:col>
      <xdr:colOff>38100</xdr:colOff>
      <xdr:row>14</xdr:row>
      <xdr:rowOff>152400</xdr:rowOff>
    </xdr:to>
    <xdr:sp macro="" textlink="_2G">
      <xdr:nvSpPr>
        <xdr:cNvPr id="15" name="CuadroTexto 14">
          <a:extLst>
            <a:ext uri="{FF2B5EF4-FFF2-40B4-BE49-F238E27FC236}">
              <a16:creationId xmlns:a16="http://schemas.microsoft.com/office/drawing/2014/main" id="{4C45129D-5D59-41F4-BF46-3AE9A8D9A0D9}"/>
            </a:ext>
          </a:extLst>
        </xdr:cNvPr>
        <xdr:cNvSpPr txBox="1"/>
      </xdr:nvSpPr>
      <xdr:spPr>
        <a:xfrm>
          <a:off x="7820025" y="2319337"/>
          <a:ext cx="1362075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6481004-40CF-4ACF-B830-2B299DD5C202}" type="TxLink">
            <a:rPr lang="en-US" sz="2800" b="1" i="0" u="none" strike="noStrike">
              <a:solidFill>
                <a:schemeClr val="bg1"/>
              </a:solidFill>
              <a:latin typeface="Agency FB" panose="020B0503020202020204" pitchFamily="34" charset="0"/>
              <a:cs typeface="Calibri"/>
            </a:rPr>
            <a:pPr/>
            <a:t>367,847,600</a:t>
          </a:fld>
          <a:endParaRPr lang="es-419" sz="2800" b="1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133350</xdr:colOff>
      <xdr:row>20</xdr:row>
      <xdr:rowOff>4762</xdr:rowOff>
    </xdr:from>
    <xdr:to>
      <xdr:col>8</xdr:col>
      <xdr:colOff>733425</xdr:colOff>
      <xdr:row>22</xdr:row>
      <xdr:rowOff>123825</xdr:rowOff>
    </xdr:to>
    <xdr:sp macro="" textlink="_3G">
      <xdr:nvSpPr>
        <xdr:cNvPr id="16" name="CuadroTexto 15">
          <a:extLst>
            <a:ext uri="{FF2B5EF4-FFF2-40B4-BE49-F238E27FC236}">
              <a16:creationId xmlns:a16="http://schemas.microsoft.com/office/drawing/2014/main" id="{D6C03698-0500-4E39-9878-7BE7CB9E883A}"/>
            </a:ext>
          </a:extLst>
        </xdr:cNvPr>
        <xdr:cNvSpPr txBox="1"/>
      </xdr:nvSpPr>
      <xdr:spPr>
        <a:xfrm>
          <a:off x="5467350" y="3814762"/>
          <a:ext cx="1362075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8B6B179-BA01-488B-9E76-84A4A21B41A6}" type="TxLink">
            <a:rPr lang="en-US" sz="2800" b="1" i="0" u="none" strike="noStrike">
              <a:solidFill>
                <a:schemeClr val="bg1"/>
              </a:solidFill>
              <a:latin typeface="Agency FB" panose="020B0503020202020204" pitchFamily="34" charset="0"/>
              <a:cs typeface="Calibri"/>
            </a:rPr>
            <a:pPr/>
            <a:t>515,758,400</a:t>
          </a:fld>
          <a:endParaRPr lang="es-419" sz="2800" b="1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247650</xdr:colOff>
      <xdr:row>19</xdr:row>
      <xdr:rowOff>176212</xdr:rowOff>
    </xdr:from>
    <xdr:to>
      <xdr:col>12</xdr:col>
      <xdr:colOff>85725</xdr:colOff>
      <xdr:row>22</xdr:row>
      <xdr:rowOff>104775</xdr:rowOff>
    </xdr:to>
    <xdr:sp macro="" textlink="_4G">
      <xdr:nvSpPr>
        <xdr:cNvPr id="17" name="CuadroTexto 16">
          <a:extLst>
            <a:ext uri="{FF2B5EF4-FFF2-40B4-BE49-F238E27FC236}">
              <a16:creationId xmlns:a16="http://schemas.microsoft.com/office/drawing/2014/main" id="{C3560DCD-977D-485B-B535-EBC23566574B}"/>
            </a:ext>
          </a:extLst>
        </xdr:cNvPr>
        <xdr:cNvSpPr txBox="1"/>
      </xdr:nvSpPr>
      <xdr:spPr>
        <a:xfrm>
          <a:off x="7867650" y="3795712"/>
          <a:ext cx="1362075" cy="500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49CCA8B-C5AF-49BD-91E7-3A34554D8DC7}" type="TxLink">
            <a:rPr lang="en-US" sz="2800" b="1" i="0" u="none" strike="noStrike">
              <a:solidFill>
                <a:schemeClr val="bg1"/>
              </a:solidFill>
              <a:latin typeface="Agency FB" panose="020B0503020202020204" pitchFamily="34" charset="0"/>
              <a:cs typeface="Calibri"/>
            </a:rPr>
            <a:pPr/>
            <a:t>504,054,200</a:t>
          </a:fld>
          <a:endParaRPr lang="es-419" sz="2800" b="1">
            <a:solidFill>
              <a:schemeClr val="bg1"/>
            </a:solidFill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257176</xdr:colOff>
      <xdr:row>14</xdr:row>
      <xdr:rowOff>42862</xdr:rowOff>
    </xdr:from>
    <xdr:to>
      <xdr:col>9</xdr:col>
      <xdr:colOff>114300</xdr:colOff>
      <xdr:row>16</xdr:row>
      <xdr:rowOff>28575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ABED8288-8D88-44D0-863F-D5EF05195952}"/>
            </a:ext>
          </a:extLst>
        </xdr:cNvPr>
        <xdr:cNvSpPr txBox="1"/>
      </xdr:nvSpPr>
      <xdr:spPr>
        <a:xfrm>
          <a:off x="6353176" y="2709862"/>
          <a:ext cx="619124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 b="1" i="1">
              <a:solidFill>
                <a:schemeClr val="bg1"/>
              </a:solidFill>
            </a:rPr>
            <a:t>100%</a:t>
          </a:r>
        </a:p>
      </xdr:txBody>
    </xdr:sp>
    <xdr:clientData/>
  </xdr:twoCellAnchor>
  <xdr:twoCellAnchor>
    <xdr:from>
      <xdr:col>11</xdr:col>
      <xdr:colOff>438151</xdr:colOff>
      <xdr:row>14</xdr:row>
      <xdr:rowOff>33337</xdr:rowOff>
    </xdr:from>
    <xdr:to>
      <xdr:col>12</xdr:col>
      <xdr:colOff>295275</xdr:colOff>
      <xdr:row>16</xdr:row>
      <xdr:rowOff>19050</xdr:rowOff>
    </xdr:to>
    <xdr:sp macro="" textlink="G2_">
      <xdr:nvSpPr>
        <xdr:cNvPr id="19" name="CuadroTexto 18">
          <a:extLst>
            <a:ext uri="{FF2B5EF4-FFF2-40B4-BE49-F238E27FC236}">
              <a16:creationId xmlns:a16="http://schemas.microsoft.com/office/drawing/2014/main" id="{85A86FEB-E06B-4DA5-A6DC-24FA8F2D3FDB}"/>
            </a:ext>
          </a:extLst>
        </xdr:cNvPr>
        <xdr:cNvSpPr txBox="1"/>
      </xdr:nvSpPr>
      <xdr:spPr>
        <a:xfrm>
          <a:off x="8820151" y="2700337"/>
          <a:ext cx="619124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D5E0BF20-1E92-4FF2-8727-8C59A1F39C28}" type="TxLink">
            <a:rPr lang="en-US" sz="1100" b="1" i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/>
            <a:t>26.5%</a:t>
          </a:fld>
          <a:endParaRPr lang="es-419" sz="11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371476</xdr:colOff>
      <xdr:row>22</xdr:row>
      <xdr:rowOff>4762</xdr:rowOff>
    </xdr:from>
    <xdr:to>
      <xdr:col>9</xdr:col>
      <xdr:colOff>228600</xdr:colOff>
      <xdr:row>23</xdr:row>
      <xdr:rowOff>180975</xdr:rowOff>
    </xdr:to>
    <xdr:sp macro="" textlink="G3_">
      <xdr:nvSpPr>
        <xdr:cNvPr id="20" name="CuadroTexto 19">
          <a:extLst>
            <a:ext uri="{FF2B5EF4-FFF2-40B4-BE49-F238E27FC236}">
              <a16:creationId xmlns:a16="http://schemas.microsoft.com/office/drawing/2014/main" id="{92C9841D-72FA-471F-9C01-D37D7908A1DD}"/>
            </a:ext>
          </a:extLst>
        </xdr:cNvPr>
        <xdr:cNvSpPr txBox="1"/>
      </xdr:nvSpPr>
      <xdr:spPr>
        <a:xfrm>
          <a:off x="6467476" y="4195762"/>
          <a:ext cx="619124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40A7262-3669-4D17-8072-96FB367D08E8}" type="TxLink">
            <a:rPr lang="en-US" sz="1100" b="1" i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/>
            <a:t>37.2%</a:t>
          </a:fld>
          <a:endParaRPr lang="es-419" sz="11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485776</xdr:colOff>
      <xdr:row>21</xdr:row>
      <xdr:rowOff>166687</xdr:rowOff>
    </xdr:from>
    <xdr:to>
      <xdr:col>12</xdr:col>
      <xdr:colOff>342900</xdr:colOff>
      <xdr:row>23</xdr:row>
      <xdr:rowOff>152400</xdr:rowOff>
    </xdr:to>
    <xdr:sp macro="" textlink="G4_">
      <xdr:nvSpPr>
        <xdr:cNvPr id="21" name="CuadroTexto 20">
          <a:extLst>
            <a:ext uri="{FF2B5EF4-FFF2-40B4-BE49-F238E27FC236}">
              <a16:creationId xmlns:a16="http://schemas.microsoft.com/office/drawing/2014/main" id="{6DA51717-AE9E-4141-876C-7EE341FF6796}"/>
            </a:ext>
          </a:extLst>
        </xdr:cNvPr>
        <xdr:cNvSpPr txBox="1"/>
      </xdr:nvSpPr>
      <xdr:spPr>
        <a:xfrm>
          <a:off x="8867776" y="4167187"/>
          <a:ext cx="619124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553DBF0-0322-4AB1-8F8A-002623515C59}" type="TxLink">
            <a:rPr lang="en-US" sz="1100" b="1" i="1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/>
            <a:t>36.3%</a:t>
          </a:fld>
          <a:endParaRPr lang="es-419" sz="11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609600</xdr:colOff>
      <xdr:row>15</xdr:row>
      <xdr:rowOff>28575</xdr:rowOff>
    </xdr:from>
    <xdr:to>
      <xdr:col>9</xdr:col>
      <xdr:colOff>523875</xdr:colOff>
      <xdr:row>18</xdr:row>
      <xdr:rowOff>157163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97A8C58B-1554-4E81-B805-2E00F66AC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15</xdr:row>
      <xdr:rowOff>47625</xdr:rowOff>
    </xdr:from>
    <xdr:to>
      <xdr:col>12</xdr:col>
      <xdr:colOff>723900</xdr:colOff>
      <xdr:row>19</xdr:row>
      <xdr:rowOff>4763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DD26C053-0AD9-49EA-B413-B8157CE97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590550</xdr:colOff>
      <xdr:row>22</xdr:row>
      <xdr:rowOff>190499</xdr:rowOff>
    </xdr:from>
    <xdr:to>
      <xdr:col>9</xdr:col>
      <xdr:colOff>523875</xdr:colOff>
      <xdr:row>26</xdr:row>
      <xdr:rowOff>157162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AB24AE21-71E0-4034-B3B1-7AA616D7DB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47625</xdr:colOff>
      <xdr:row>22</xdr:row>
      <xdr:rowOff>161925</xdr:rowOff>
    </xdr:from>
    <xdr:to>
      <xdr:col>12</xdr:col>
      <xdr:colOff>714375</xdr:colOff>
      <xdr:row>26</xdr:row>
      <xdr:rowOff>157163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BCF654E3-8686-4F98-BFAB-F9758FB7F7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733425</xdr:colOff>
      <xdr:row>13</xdr:row>
      <xdr:rowOff>9525</xdr:rowOff>
    </xdr:from>
    <xdr:to>
      <xdr:col>6</xdr:col>
      <xdr:colOff>114300</xdr:colOff>
      <xdr:row>33</xdr:row>
      <xdr:rowOff>123825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6" name="Años (month)">
              <a:extLst>
                <a:ext uri="{FF2B5EF4-FFF2-40B4-BE49-F238E27FC236}">
                  <a16:creationId xmlns:a16="http://schemas.microsoft.com/office/drawing/2014/main" id="{3ACC1AF0-F507-42EA-8B64-25FBAD1AD0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month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81425" y="2486025"/>
              <a:ext cx="904875" cy="3924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200023</xdr:colOff>
      <xdr:row>12</xdr:row>
      <xdr:rowOff>104774</xdr:rowOff>
    </xdr:from>
    <xdr:to>
      <xdr:col>17</xdr:col>
      <xdr:colOff>714374</xdr:colOff>
      <xdr:row>26</xdr:row>
      <xdr:rowOff>57150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81161EEE-A894-445A-8F3C-5EB131EE1EE5}"/>
            </a:ext>
          </a:extLst>
        </xdr:cNvPr>
        <xdr:cNvSpPr/>
      </xdr:nvSpPr>
      <xdr:spPr>
        <a:xfrm>
          <a:off x="10106023" y="2390774"/>
          <a:ext cx="3562351" cy="2619376"/>
        </a:xfrm>
        <a:prstGeom prst="roundRect">
          <a:avLst>
            <a:gd name="adj" fmla="val 2554"/>
          </a:avLst>
        </a:prstGeom>
        <a:solidFill>
          <a:srgbClr val="1F1C2A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676272</xdr:colOff>
      <xdr:row>27</xdr:row>
      <xdr:rowOff>66674</xdr:rowOff>
    </xdr:from>
    <xdr:to>
      <xdr:col>14</xdr:col>
      <xdr:colOff>457199</xdr:colOff>
      <xdr:row>36</xdr:row>
      <xdr:rowOff>171450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2278F1CF-72AB-4A22-BE1D-2941B3A9BE0A}"/>
            </a:ext>
          </a:extLst>
        </xdr:cNvPr>
        <xdr:cNvSpPr/>
      </xdr:nvSpPr>
      <xdr:spPr>
        <a:xfrm>
          <a:off x="5248272" y="5210174"/>
          <a:ext cx="5876927" cy="1819276"/>
        </a:xfrm>
        <a:prstGeom prst="roundRect">
          <a:avLst>
            <a:gd name="adj" fmla="val 2554"/>
          </a:avLst>
        </a:prstGeom>
        <a:solidFill>
          <a:srgbClr val="1F1C2A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14</xdr:col>
      <xdr:colOff>600072</xdr:colOff>
      <xdr:row>27</xdr:row>
      <xdr:rowOff>95249</xdr:rowOff>
    </xdr:from>
    <xdr:to>
      <xdr:col>17</xdr:col>
      <xdr:colOff>733425</xdr:colOff>
      <xdr:row>37</xdr:row>
      <xdr:rowOff>9525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401877AC-9A8F-4A80-AB1D-8480AB81AA73}"/>
            </a:ext>
          </a:extLst>
        </xdr:cNvPr>
        <xdr:cNvSpPr/>
      </xdr:nvSpPr>
      <xdr:spPr>
        <a:xfrm>
          <a:off x="11268072" y="5238749"/>
          <a:ext cx="2419353" cy="1819276"/>
        </a:xfrm>
        <a:prstGeom prst="roundRect">
          <a:avLst>
            <a:gd name="adj" fmla="val 2554"/>
          </a:avLst>
        </a:prstGeom>
        <a:solidFill>
          <a:srgbClr val="1F1C2A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14</xdr:col>
      <xdr:colOff>647699</xdr:colOff>
      <xdr:row>27</xdr:row>
      <xdr:rowOff>152401</xdr:rowOff>
    </xdr:from>
    <xdr:to>
      <xdr:col>17</xdr:col>
      <xdr:colOff>695324</xdr:colOff>
      <xdr:row>36</xdr:row>
      <xdr:rowOff>114301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D909B9D7-E752-4821-A3D6-B1FC33819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200023</xdr:colOff>
      <xdr:row>14</xdr:row>
      <xdr:rowOff>57150</xdr:rowOff>
    </xdr:from>
    <xdr:to>
      <xdr:col>17</xdr:col>
      <xdr:colOff>457200</xdr:colOff>
      <xdr:row>25</xdr:row>
      <xdr:rowOff>171450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DBC4EF43-7C0D-4318-9BC1-122E1BE0E8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257175</xdr:colOff>
      <xdr:row>12</xdr:row>
      <xdr:rowOff>119062</xdr:rowOff>
    </xdr:from>
    <xdr:to>
      <xdr:col>16</xdr:col>
      <xdr:colOff>438150</xdr:colOff>
      <xdr:row>14</xdr:row>
      <xdr:rowOff>104775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45D688EB-CF81-4067-8681-DF9620B78380}"/>
            </a:ext>
          </a:extLst>
        </xdr:cNvPr>
        <xdr:cNvSpPr txBox="1"/>
      </xdr:nvSpPr>
      <xdr:spPr>
        <a:xfrm>
          <a:off x="10163175" y="2405062"/>
          <a:ext cx="2466975" cy="3667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1100">
              <a:solidFill>
                <a:schemeClr val="bg1"/>
              </a:solidFill>
            </a:rPr>
            <a:t>Suscripcion por Generacion</a:t>
          </a:r>
          <a:r>
            <a:rPr lang="es-419" sz="1100" baseline="0">
              <a:solidFill>
                <a:schemeClr val="bg1"/>
              </a:solidFill>
            </a:rPr>
            <a:t> y Plan</a:t>
          </a:r>
          <a:endParaRPr lang="es-419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752472</xdr:colOff>
      <xdr:row>27</xdr:row>
      <xdr:rowOff>66674</xdr:rowOff>
    </xdr:from>
    <xdr:to>
      <xdr:col>10</xdr:col>
      <xdr:colOff>238125</xdr:colOff>
      <xdr:row>36</xdr:row>
      <xdr:rowOff>133350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F5289B8E-EA7A-4C02-A30C-D7FBED998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342896</xdr:colOff>
      <xdr:row>27</xdr:row>
      <xdr:rowOff>85724</xdr:rowOff>
    </xdr:from>
    <xdr:to>
      <xdr:col>14</xdr:col>
      <xdr:colOff>419099</xdr:colOff>
      <xdr:row>36</xdr:row>
      <xdr:rowOff>123825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F5AF142C-5700-4963-A624-0F5AA5A6E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733425</xdr:colOff>
      <xdr:row>10</xdr:row>
      <xdr:rowOff>95249</xdr:rowOff>
    </xdr:from>
    <xdr:to>
      <xdr:col>6</xdr:col>
      <xdr:colOff>285750</xdr:colOff>
      <xdr:row>13</xdr:row>
      <xdr:rowOff>66674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5678EEC3-20C0-42F7-AADC-509BEB1545E4}"/>
            </a:ext>
          </a:extLst>
        </xdr:cNvPr>
        <xdr:cNvSpPr txBox="1"/>
      </xdr:nvSpPr>
      <xdr:spPr>
        <a:xfrm>
          <a:off x="3781425" y="2000249"/>
          <a:ext cx="107632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419" sz="2800" b="1">
              <a:solidFill>
                <a:schemeClr val="bg1"/>
              </a:solidFill>
            </a:rPr>
            <a:t>Filtro</a:t>
          </a:r>
        </a:p>
      </xdr:txBody>
    </xdr:sp>
    <xdr:clientData/>
  </xdr:twoCellAnchor>
  <xdr:twoCellAnchor editAs="oneCell">
    <xdr:from>
      <xdr:col>5</xdr:col>
      <xdr:colOff>209550</xdr:colOff>
      <xdr:row>8</xdr:row>
      <xdr:rowOff>123825</xdr:rowOff>
    </xdr:from>
    <xdr:to>
      <xdr:col>5</xdr:col>
      <xdr:colOff>638175</xdr:colOff>
      <xdr:row>10</xdr:row>
      <xdr:rowOff>171450</xdr:rowOff>
    </xdr:to>
    <xdr:pic macro="[0]!Clear_Filters">
      <xdr:nvPicPr>
        <xdr:cNvPr id="37" name="Gráfico 36" descr="Basura con relleno sólido">
          <a:extLst>
            <a:ext uri="{FF2B5EF4-FFF2-40B4-BE49-F238E27FC236}">
              <a16:creationId xmlns:a16="http://schemas.microsoft.com/office/drawing/2014/main" id="{7520C51A-4762-A103-11B9-71C4ED26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19550" y="1647825"/>
          <a:ext cx="428625" cy="4286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s Pozo" refreshedDate="45453.480197800927" createdVersion="8" refreshedVersion="8" minRefreshableVersion="3" recordCount="664" xr:uid="{0F6E5465-BD53-43AB-BA76-76283D8E9C44}">
  <cacheSource type="worksheet">
    <worksheetSource name="Tabla1_1"/>
  </cacheSource>
  <cacheFields count="7">
    <cacheField name="month" numFmtId="14">
      <sharedItems containsSemiMixedTypes="0" containsNonDate="0" containsDate="1" containsString="0" minDate="2004-07-01T00:00:00" maxDate="2017-10-02T00:00:00" count="160"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</sharedItems>
      <fieldGroup par="6"/>
    </cacheField>
    <cacheField name="network_access_technology" numFmtId="0">
      <sharedItems count="3">
        <s v="2G"/>
        <s v="3G"/>
        <s v="4G"/>
      </sharedItems>
    </cacheField>
    <cacheField name="type_of_plan" numFmtId="0">
      <sharedItems count="6">
        <s v="pre-pago"/>
        <s v="post-pago"/>
        <s v="pre y post pago"/>
        <s v="pre-paid" u="1"/>
        <s v="post-paid" u="1"/>
        <s v="pre and post paid" u="1"/>
      </sharedItems>
    </cacheField>
    <cacheField name="number_of_subscriptions" numFmtId="0">
      <sharedItems containsSemiMixedTypes="0" containsString="0" containsNumber="1" containsInteger="1" minValue="0" maxValue="90000000"/>
    </cacheField>
    <cacheField name="Meses (month)" numFmtId="0" databaseField="0">
      <fieldGroup base="0">
        <rangePr groupBy="months" startDate="2004-07-01T00:00:00" endDate="2017-10-02T00:00:00"/>
        <groupItems count="14">
          <s v="&lt;1/7/200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10/2017"/>
        </groupItems>
      </fieldGroup>
    </cacheField>
    <cacheField name="Trimestres (month)" numFmtId="0" databaseField="0">
      <fieldGroup base="0">
        <rangePr groupBy="quarters" startDate="2004-07-01T00:00:00" endDate="2017-10-02T00:00:00"/>
        <groupItems count="6">
          <s v="&lt;1/7/2004"/>
          <s v="Trim.1"/>
          <s v="Trim.2"/>
          <s v="Trim.3"/>
          <s v="Trim.4"/>
          <s v="&gt;2/10/2017"/>
        </groupItems>
      </fieldGroup>
    </cacheField>
    <cacheField name="Años (month)" numFmtId="0" databaseField="0">
      <fieldGroup base="0">
        <rangePr groupBy="years" startDate="2004-07-01T00:00:00" endDate="2017-10-02T00:00:00"/>
        <groupItems count="16">
          <s v="&lt;1/7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2/10/2017"/>
        </groupItems>
      </fieldGroup>
    </cacheField>
  </cacheFields>
  <extLst>
    <ext xmlns:x14="http://schemas.microsoft.com/office/spreadsheetml/2009/9/main" uri="{725AE2AE-9491-48be-B2B4-4EB974FC3084}">
      <x14:pivotCacheDefinition pivotCacheId="12135076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4">
  <r>
    <x v="0"/>
    <x v="0"/>
    <x v="0"/>
    <n v="1137000"/>
  </r>
  <r>
    <x v="0"/>
    <x v="0"/>
    <x v="1"/>
    <n v="2553900"/>
  </r>
  <r>
    <x v="1"/>
    <x v="0"/>
    <x v="0"/>
    <n v="1151300"/>
  </r>
  <r>
    <x v="1"/>
    <x v="0"/>
    <x v="1"/>
    <n v="2565300"/>
  </r>
  <r>
    <x v="2"/>
    <x v="0"/>
    <x v="0"/>
    <n v="1170900"/>
  </r>
  <r>
    <x v="2"/>
    <x v="0"/>
    <x v="1"/>
    <n v="2570900"/>
  </r>
  <r>
    <x v="3"/>
    <x v="0"/>
    <x v="0"/>
    <n v="1182100"/>
  </r>
  <r>
    <x v="3"/>
    <x v="0"/>
    <x v="1"/>
    <n v="2575200"/>
  </r>
  <r>
    <x v="4"/>
    <x v="0"/>
    <x v="0"/>
    <n v="1213700"/>
  </r>
  <r>
    <x v="4"/>
    <x v="0"/>
    <x v="1"/>
    <n v="2585100"/>
  </r>
  <r>
    <x v="5"/>
    <x v="0"/>
    <x v="0"/>
    <n v="1246900"/>
  </r>
  <r>
    <x v="5"/>
    <x v="0"/>
    <x v="1"/>
    <n v="2613800"/>
  </r>
  <r>
    <x v="6"/>
    <x v="0"/>
    <x v="0"/>
    <n v="1271100"/>
  </r>
  <r>
    <x v="6"/>
    <x v="0"/>
    <x v="1"/>
    <n v="2628600"/>
  </r>
  <r>
    <x v="7"/>
    <x v="0"/>
    <x v="0"/>
    <n v="1296500"/>
  </r>
  <r>
    <x v="7"/>
    <x v="0"/>
    <x v="1"/>
    <n v="2638900"/>
  </r>
  <r>
    <x v="8"/>
    <x v="0"/>
    <x v="0"/>
    <n v="1341900"/>
  </r>
  <r>
    <x v="8"/>
    <x v="0"/>
    <x v="1"/>
    <n v="2648800"/>
  </r>
  <r>
    <x v="9"/>
    <x v="0"/>
    <x v="0"/>
    <n v="1362400"/>
  </r>
  <r>
    <x v="9"/>
    <x v="0"/>
    <x v="1"/>
    <n v="2648500"/>
  </r>
  <r>
    <x v="10"/>
    <x v="0"/>
    <x v="0"/>
    <n v="1383000"/>
  </r>
  <r>
    <x v="10"/>
    <x v="0"/>
    <x v="1"/>
    <n v="2644900"/>
  </r>
  <r>
    <x v="10"/>
    <x v="1"/>
    <x v="2"/>
    <n v="21600"/>
  </r>
  <r>
    <x v="11"/>
    <x v="0"/>
    <x v="0"/>
    <n v="1405300"/>
  </r>
  <r>
    <x v="11"/>
    <x v="0"/>
    <x v="1"/>
    <n v="2644400"/>
  </r>
  <r>
    <x v="11"/>
    <x v="1"/>
    <x v="2"/>
    <n v="28700"/>
  </r>
  <r>
    <x v="12"/>
    <x v="0"/>
    <x v="0"/>
    <n v="1453200"/>
  </r>
  <r>
    <x v="12"/>
    <x v="0"/>
    <x v="1"/>
    <n v="2645000"/>
  </r>
  <r>
    <x v="12"/>
    <x v="1"/>
    <x v="2"/>
    <n v="37500"/>
  </r>
  <r>
    <x v="13"/>
    <x v="0"/>
    <x v="0"/>
    <n v="1467300"/>
  </r>
  <r>
    <x v="13"/>
    <x v="0"/>
    <x v="1"/>
    <n v="2646300"/>
  </r>
  <r>
    <x v="13"/>
    <x v="1"/>
    <x v="2"/>
    <n v="47700"/>
  </r>
  <r>
    <x v="14"/>
    <x v="0"/>
    <x v="0"/>
    <n v="1483600"/>
  </r>
  <r>
    <x v="14"/>
    <x v="0"/>
    <x v="1"/>
    <n v="2635300"/>
  </r>
  <r>
    <x v="14"/>
    <x v="1"/>
    <x v="2"/>
    <n v="66200"/>
  </r>
  <r>
    <x v="15"/>
    <x v="0"/>
    <x v="0"/>
    <n v="1482500"/>
  </r>
  <r>
    <x v="15"/>
    <x v="0"/>
    <x v="1"/>
    <n v="2613700"/>
  </r>
  <r>
    <x v="15"/>
    <x v="1"/>
    <x v="2"/>
    <n v="96900"/>
  </r>
  <r>
    <x v="16"/>
    <x v="0"/>
    <x v="0"/>
    <n v="1469100"/>
  </r>
  <r>
    <x v="16"/>
    <x v="0"/>
    <x v="1"/>
    <n v="2586700"/>
  </r>
  <r>
    <x v="16"/>
    <x v="1"/>
    <x v="2"/>
    <n v="129300"/>
  </r>
  <r>
    <x v="17"/>
    <x v="0"/>
    <x v="0"/>
    <n v="1516900"/>
  </r>
  <r>
    <x v="17"/>
    <x v="0"/>
    <x v="1"/>
    <n v="2565100"/>
  </r>
  <r>
    <x v="17"/>
    <x v="1"/>
    <x v="2"/>
    <n v="174800"/>
  </r>
  <r>
    <x v="18"/>
    <x v="0"/>
    <x v="0"/>
    <n v="1557000"/>
  </r>
  <r>
    <x v="18"/>
    <x v="0"/>
    <x v="1"/>
    <n v="2533200"/>
  </r>
  <r>
    <x v="18"/>
    <x v="1"/>
    <x v="2"/>
    <n v="220500"/>
  </r>
  <r>
    <x v="19"/>
    <x v="0"/>
    <x v="0"/>
    <n v="1573300"/>
  </r>
  <r>
    <x v="19"/>
    <x v="0"/>
    <x v="1"/>
    <n v="2495600"/>
  </r>
  <r>
    <x v="19"/>
    <x v="1"/>
    <x v="2"/>
    <n v="271700"/>
  </r>
  <r>
    <x v="20"/>
    <x v="0"/>
    <x v="0"/>
    <n v="1609700"/>
  </r>
  <r>
    <x v="20"/>
    <x v="0"/>
    <x v="1"/>
    <n v="2457400"/>
  </r>
  <r>
    <x v="20"/>
    <x v="1"/>
    <x v="2"/>
    <n v="317600"/>
  </r>
  <r>
    <x v="21"/>
    <x v="0"/>
    <x v="0"/>
    <n v="1629700"/>
  </r>
  <r>
    <x v="21"/>
    <x v="0"/>
    <x v="1"/>
    <n v="2417500"/>
  </r>
  <r>
    <x v="21"/>
    <x v="1"/>
    <x v="2"/>
    <n v="367600"/>
  </r>
  <r>
    <x v="22"/>
    <x v="0"/>
    <x v="0"/>
    <n v="1521800"/>
  </r>
  <r>
    <x v="22"/>
    <x v="0"/>
    <x v="1"/>
    <n v="2370800"/>
  </r>
  <r>
    <x v="22"/>
    <x v="1"/>
    <x v="2"/>
    <n v="429600"/>
  </r>
  <r>
    <x v="23"/>
    <x v="0"/>
    <x v="0"/>
    <n v="1432500"/>
  </r>
  <r>
    <x v="23"/>
    <x v="0"/>
    <x v="1"/>
    <n v="2299600"/>
  </r>
  <r>
    <x v="23"/>
    <x v="1"/>
    <x v="2"/>
    <n v="486100"/>
  </r>
  <r>
    <x v="24"/>
    <x v="0"/>
    <x v="0"/>
    <n v="1493300"/>
  </r>
  <r>
    <x v="24"/>
    <x v="0"/>
    <x v="1"/>
    <n v="2253900"/>
  </r>
  <r>
    <x v="24"/>
    <x v="1"/>
    <x v="2"/>
    <n v="534600"/>
  </r>
  <r>
    <x v="25"/>
    <x v="0"/>
    <x v="0"/>
    <n v="1560500"/>
  </r>
  <r>
    <x v="25"/>
    <x v="0"/>
    <x v="1"/>
    <n v="2204400"/>
  </r>
  <r>
    <x v="25"/>
    <x v="1"/>
    <x v="2"/>
    <n v="589800"/>
  </r>
  <r>
    <x v="26"/>
    <x v="0"/>
    <x v="0"/>
    <n v="1611800"/>
  </r>
  <r>
    <x v="26"/>
    <x v="0"/>
    <x v="1"/>
    <n v="2158900"/>
  </r>
  <r>
    <x v="26"/>
    <x v="1"/>
    <x v="2"/>
    <n v="645300"/>
  </r>
  <r>
    <x v="27"/>
    <x v="0"/>
    <x v="0"/>
    <n v="1666200"/>
  </r>
  <r>
    <x v="27"/>
    <x v="0"/>
    <x v="1"/>
    <n v="2105900"/>
  </r>
  <r>
    <x v="27"/>
    <x v="1"/>
    <x v="2"/>
    <n v="699200"/>
  </r>
  <r>
    <x v="28"/>
    <x v="0"/>
    <x v="0"/>
    <n v="1730800"/>
  </r>
  <r>
    <x v="28"/>
    <x v="0"/>
    <x v="1"/>
    <n v="2050800"/>
  </r>
  <r>
    <x v="28"/>
    <x v="1"/>
    <x v="2"/>
    <n v="766700"/>
  </r>
  <r>
    <x v="29"/>
    <x v="0"/>
    <x v="0"/>
    <n v="1793700"/>
  </r>
  <r>
    <x v="29"/>
    <x v="0"/>
    <x v="1"/>
    <n v="1960100"/>
  </r>
  <r>
    <x v="29"/>
    <x v="1"/>
    <x v="2"/>
    <n v="884000"/>
  </r>
  <r>
    <x v="30"/>
    <x v="0"/>
    <x v="0"/>
    <n v="1836900"/>
  </r>
  <r>
    <x v="30"/>
    <x v="0"/>
    <x v="1"/>
    <n v="1899000"/>
  </r>
  <r>
    <x v="30"/>
    <x v="1"/>
    <x v="2"/>
    <n v="953400"/>
  </r>
  <r>
    <x v="31"/>
    <x v="0"/>
    <x v="0"/>
    <n v="1863200"/>
  </r>
  <r>
    <x v="31"/>
    <x v="0"/>
    <x v="1"/>
    <n v="1852000"/>
  </r>
  <r>
    <x v="31"/>
    <x v="1"/>
    <x v="2"/>
    <n v="1014500"/>
  </r>
  <r>
    <x v="32"/>
    <x v="0"/>
    <x v="0"/>
    <n v="1911400"/>
  </r>
  <r>
    <x v="32"/>
    <x v="0"/>
    <x v="1"/>
    <n v="1795700"/>
  </r>
  <r>
    <x v="32"/>
    <x v="1"/>
    <x v="2"/>
    <n v="1081400"/>
  </r>
  <r>
    <x v="33"/>
    <x v="0"/>
    <x v="0"/>
    <n v="1961500"/>
  </r>
  <r>
    <x v="33"/>
    <x v="0"/>
    <x v="1"/>
    <n v="1745600"/>
  </r>
  <r>
    <x v="33"/>
    <x v="1"/>
    <x v="2"/>
    <n v="1141000"/>
  </r>
  <r>
    <x v="34"/>
    <x v="0"/>
    <x v="0"/>
    <n v="2016000"/>
  </r>
  <r>
    <x v="34"/>
    <x v="0"/>
    <x v="1"/>
    <n v="1699400"/>
  </r>
  <r>
    <x v="34"/>
    <x v="1"/>
    <x v="2"/>
    <n v="1196100"/>
  </r>
  <r>
    <x v="35"/>
    <x v="0"/>
    <x v="0"/>
    <n v="2079700"/>
  </r>
  <r>
    <x v="35"/>
    <x v="0"/>
    <x v="1"/>
    <n v="1653200"/>
  </r>
  <r>
    <x v="35"/>
    <x v="1"/>
    <x v="2"/>
    <n v="1254900"/>
  </r>
  <r>
    <x v="36"/>
    <x v="0"/>
    <x v="0"/>
    <n v="2164500"/>
  </r>
  <r>
    <x v="36"/>
    <x v="0"/>
    <x v="1"/>
    <n v="1605500"/>
  </r>
  <r>
    <x v="36"/>
    <x v="1"/>
    <x v="2"/>
    <n v="1308900"/>
  </r>
  <r>
    <x v="37"/>
    <x v="0"/>
    <x v="0"/>
    <n v="2256000"/>
  </r>
  <r>
    <x v="37"/>
    <x v="0"/>
    <x v="1"/>
    <n v="1558100"/>
  </r>
  <r>
    <x v="37"/>
    <x v="1"/>
    <x v="2"/>
    <n v="1366700"/>
  </r>
  <r>
    <x v="38"/>
    <x v="0"/>
    <x v="0"/>
    <n v="2332500"/>
  </r>
  <r>
    <x v="38"/>
    <x v="0"/>
    <x v="1"/>
    <n v="1508100"/>
  </r>
  <r>
    <x v="38"/>
    <x v="1"/>
    <x v="2"/>
    <n v="1440000"/>
  </r>
  <r>
    <x v="39"/>
    <x v="0"/>
    <x v="0"/>
    <n v="2379500"/>
  </r>
  <r>
    <x v="39"/>
    <x v="0"/>
    <x v="1"/>
    <n v="1450600"/>
  </r>
  <r>
    <x v="39"/>
    <x v="1"/>
    <x v="2"/>
    <n v="1509600"/>
  </r>
  <r>
    <x v="40"/>
    <x v="0"/>
    <x v="0"/>
    <n v="2444700"/>
  </r>
  <r>
    <x v="40"/>
    <x v="0"/>
    <x v="1"/>
    <n v="1394400"/>
  </r>
  <r>
    <x v="40"/>
    <x v="1"/>
    <x v="2"/>
    <n v="1592900"/>
  </r>
  <r>
    <x v="41"/>
    <x v="0"/>
    <x v="0"/>
    <n v="2600000"/>
  </r>
  <r>
    <x v="41"/>
    <x v="0"/>
    <x v="1"/>
    <n v="1318100"/>
  </r>
  <r>
    <x v="41"/>
    <x v="1"/>
    <x v="2"/>
    <n v="1701000"/>
  </r>
  <r>
    <x v="42"/>
    <x v="0"/>
    <x v="0"/>
    <n v="2733400"/>
  </r>
  <r>
    <x v="42"/>
    <x v="0"/>
    <x v="1"/>
    <n v="1255700"/>
  </r>
  <r>
    <x v="42"/>
    <x v="1"/>
    <x v="2"/>
    <n v="1776000"/>
  </r>
  <r>
    <x v="43"/>
    <x v="0"/>
    <x v="0"/>
    <n v="2772900"/>
  </r>
  <r>
    <x v="43"/>
    <x v="0"/>
    <x v="1"/>
    <n v="1216900"/>
  </r>
  <r>
    <x v="43"/>
    <x v="1"/>
    <x v="2"/>
    <n v="1835700"/>
  </r>
  <r>
    <x v="44"/>
    <x v="0"/>
    <x v="0"/>
    <n v="2849000"/>
  </r>
  <r>
    <x v="44"/>
    <x v="0"/>
    <x v="1"/>
    <n v="1153900"/>
  </r>
  <r>
    <x v="44"/>
    <x v="1"/>
    <x v="2"/>
    <n v="1921200"/>
  </r>
  <r>
    <x v="45"/>
    <x v="0"/>
    <x v="0"/>
    <n v="2899200"/>
  </r>
  <r>
    <x v="45"/>
    <x v="0"/>
    <x v="1"/>
    <n v="1103600"/>
  </r>
  <r>
    <x v="45"/>
    <x v="1"/>
    <x v="2"/>
    <n v="1990900"/>
  </r>
  <r>
    <x v="46"/>
    <x v="0"/>
    <x v="0"/>
    <n v="2960100"/>
  </r>
  <r>
    <x v="46"/>
    <x v="0"/>
    <x v="1"/>
    <n v="1059400"/>
  </r>
  <r>
    <x v="46"/>
    <x v="1"/>
    <x v="2"/>
    <n v="2060000"/>
  </r>
  <r>
    <x v="47"/>
    <x v="0"/>
    <x v="0"/>
    <n v="3006000"/>
  </r>
  <r>
    <x v="47"/>
    <x v="0"/>
    <x v="1"/>
    <n v="1017000"/>
  </r>
  <r>
    <x v="47"/>
    <x v="1"/>
    <x v="2"/>
    <n v="2136900"/>
  </r>
  <r>
    <x v="48"/>
    <x v="0"/>
    <x v="0"/>
    <n v="3043100"/>
  </r>
  <r>
    <x v="48"/>
    <x v="0"/>
    <x v="1"/>
    <n v="966000"/>
  </r>
  <r>
    <x v="48"/>
    <x v="1"/>
    <x v="2"/>
    <n v="2211400"/>
  </r>
  <r>
    <x v="49"/>
    <x v="0"/>
    <x v="0"/>
    <n v="3015000"/>
  </r>
  <r>
    <x v="49"/>
    <x v="0"/>
    <x v="1"/>
    <n v="923400"/>
  </r>
  <r>
    <x v="49"/>
    <x v="1"/>
    <x v="2"/>
    <n v="2277700"/>
  </r>
  <r>
    <x v="50"/>
    <x v="0"/>
    <x v="0"/>
    <n v="3038000"/>
  </r>
  <r>
    <x v="50"/>
    <x v="0"/>
    <x v="1"/>
    <n v="886000"/>
  </r>
  <r>
    <x v="50"/>
    <x v="1"/>
    <x v="2"/>
    <n v="2334400"/>
  </r>
  <r>
    <x v="51"/>
    <x v="0"/>
    <x v="0"/>
    <n v="3043600"/>
  </r>
  <r>
    <x v="51"/>
    <x v="0"/>
    <x v="1"/>
    <n v="851600"/>
  </r>
  <r>
    <x v="51"/>
    <x v="1"/>
    <x v="2"/>
    <n v="2379500"/>
  </r>
  <r>
    <x v="52"/>
    <x v="0"/>
    <x v="0"/>
    <n v="3047100"/>
  </r>
  <r>
    <x v="52"/>
    <x v="0"/>
    <x v="1"/>
    <n v="818600"/>
  </r>
  <r>
    <x v="52"/>
    <x v="1"/>
    <x v="2"/>
    <n v="2429500"/>
  </r>
  <r>
    <x v="53"/>
    <x v="0"/>
    <x v="0"/>
    <n v="3075000"/>
  </r>
  <r>
    <x v="53"/>
    <x v="0"/>
    <x v="1"/>
    <n v="791600"/>
  </r>
  <r>
    <x v="53"/>
    <x v="1"/>
    <x v="2"/>
    <n v="2473600"/>
  </r>
  <r>
    <x v="54"/>
    <x v="0"/>
    <x v="0"/>
    <n v="3083900"/>
  </r>
  <r>
    <x v="54"/>
    <x v="0"/>
    <x v="1"/>
    <n v="752300"/>
  </r>
  <r>
    <x v="54"/>
    <x v="1"/>
    <x v="2"/>
    <n v="2518400"/>
  </r>
  <r>
    <x v="55"/>
    <x v="0"/>
    <x v="0"/>
    <n v="3098100"/>
  </r>
  <r>
    <x v="55"/>
    <x v="0"/>
    <x v="1"/>
    <n v="723900"/>
  </r>
  <r>
    <x v="55"/>
    <x v="1"/>
    <x v="2"/>
    <n v="2553600"/>
  </r>
  <r>
    <x v="56"/>
    <x v="0"/>
    <x v="0"/>
    <n v="3118400"/>
  </r>
  <r>
    <x v="56"/>
    <x v="0"/>
    <x v="1"/>
    <n v="693500"/>
  </r>
  <r>
    <x v="56"/>
    <x v="1"/>
    <x v="2"/>
    <n v="2602900"/>
  </r>
  <r>
    <x v="57"/>
    <x v="0"/>
    <x v="0"/>
    <n v="3142100"/>
  </r>
  <r>
    <x v="57"/>
    <x v="0"/>
    <x v="1"/>
    <n v="670600"/>
  </r>
  <r>
    <x v="57"/>
    <x v="1"/>
    <x v="2"/>
    <n v="2635300"/>
  </r>
  <r>
    <x v="58"/>
    <x v="0"/>
    <x v="0"/>
    <n v="3157200"/>
  </r>
  <r>
    <x v="58"/>
    <x v="0"/>
    <x v="1"/>
    <n v="631100"/>
  </r>
  <r>
    <x v="58"/>
    <x v="1"/>
    <x v="2"/>
    <n v="2687100"/>
  </r>
  <r>
    <x v="59"/>
    <x v="0"/>
    <x v="0"/>
    <n v="3173000"/>
  </r>
  <r>
    <x v="59"/>
    <x v="0"/>
    <x v="1"/>
    <n v="601200"/>
  </r>
  <r>
    <x v="59"/>
    <x v="1"/>
    <x v="2"/>
    <n v="2739300"/>
  </r>
  <r>
    <x v="60"/>
    <x v="0"/>
    <x v="0"/>
    <n v="3215100"/>
  </r>
  <r>
    <x v="60"/>
    <x v="0"/>
    <x v="1"/>
    <n v="570800"/>
  </r>
  <r>
    <x v="60"/>
    <x v="1"/>
    <x v="2"/>
    <n v="2795200"/>
  </r>
  <r>
    <x v="61"/>
    <x v="0"/>
    <x v="0"/>
    <n v="3235200"/>
  </r>
  <r>
    <x v="61"/>
    <x v="0"/>
    <x v="1"/>
    <n v="545200"/>
  </r>
  <r>
    <x v="61"/>
    <x v="1"/>
    <x v="2"/>
    <n v="2858900"/>
  </r>
  <r>
    <x v="62"/>
    <x v="0"/>
    <x v="0"/>
    <n v="3255400"/>
  </r>
  <r>
    <x v="62"/>
    <x v="0"/>
    <x v="1"/>
    <n v="523200"/>
  </r>
  <r>
    <x v="62"/>
    <x v="1"/>
    <x v="2"/>
    <n v="2927700"/>
  </r>
  <r>
    <x v="63"/>
    <x v="0"/>
    <x v="0"/>
    <n v="3255300"/>
  </r>
  <r>
    <x v="63"/>
    <x v="0"/>
    <x v="1"/>
    <n v="500900"/>
  </r>
  <r>
    <x v="63"/>
    <x v="1"/>
    <x v="2"/>
    <n v="2989500"/>
  </r>
  <r>
    <x v="64"/>
    <x v="0"/>
    <x v="0"/>
    <n v="3261900"/>
  </r>
  <r>
    <x v="64"/>
    <x v="0"/>
    <x v="1"/>
    <n v="480600"/>
  </r>
  <r>
    <x v="64"/>
    <x v="1"/>
    <x v="2"/>
    <n v="3068400"/>
  </r>
  <r>
    <x v="65"/>
    <x v="0"/>
    <x v="1"/>
    <n v="3240700"/>
  </r>
  <r>
    <x v="65"/>
    <x v="0"/>
    <x v="0"/>
    <n v="456200"/>
  </r>
  <r>
    <x v="65"/>
    <x v="1"/>
    <x v="1"/>
    <n v="170900"/>
  </r>
  <r>
    <x v="65"/>
    <x v="1"/>
    <x v="0"/>
    <n v="2989400"/>
  </r>
  <r>
    <x v="66"/>
    <x v="0"/>
    <x v="1"/>
    <n v="3195500"/>
  </r>
  <r>
    <x v="66"/>
    <x v="0"/>
    <x v="0"/>
    <n v="435600"/>
  </r>
  <r>
    <x v="66"/>
    <x v="1"/>
    <x v="1"/>
    <n v="212200"/>
  </r>
  <r>
    <x v="66"/>
    <x v="1"/>
    <x v="0"/>
    <n v="3035700"/>
  </r>
  <r>
    <x v="67"/>
    <x v="0"/>
    <x v="1"/>
    <n v="3121600"/>
  </r>
  <r>
    <x v="67"/>
    <x v="0"/>
    <x v="0"/>
    <n v="418400"/>
  </r>
  <r>
    <x v="67"/>
    <x v="1"/>
    <x v="1"/>
    <n v="251600"/>
  </r>
  <r>
    <x v="67"/>
    <x v="1"/>
    <x v="0"/>
    <n v="3073400"/>
  </r>
  <r>
    <x v="68"/>
    <x v="0"/>
    <x v="1"/>
    <n v="3063500"/>
  </r>
  <r>
    <x v="68"/>
    <x v="0"/>
    <x v="0"/>
    <n v="398500"/>
  </r>
  <r>
    <x v="68"/>
    <x v="1"/>
    <x v="1"/>
    <n v="297400"/>
  </r>
  <r>
    <x v="68"/>
    <x v="1"/>
    <x v="0"/>
    <n v="3120500"/>
  </r>
  <r>
    <x v="69"/>
    <x v="0"/>
    <x v="1"/>
    <n v="2988500"/>
  </r>
  <r>
    <x v="69"/>
    <x v="0"/>
    <x v="0"/>
    <n v="380800"/>
  </r>
  <r>
    <x v="69"/>
    <x v="1"/>
    <x v="1"/>
    <n v="385300"/>
  </r>
  <r>
    <x v="69"/>
    <x v="1"/>
    <x v="0"/>
    <n v="3165600"/>
  </r>
  <r>
    <x v="70"/>
    <x v="0"/>
    <x v="1"/>
    <n v="2891100"/>
  </r>
  <r>
    <x v="70"/>
    <x v="0"/>
    <x v="0"/>
    <n v="361100"/>
  </r>
  <r>
    <x v="70"/>
    <x v="1"/>
    <x v="1"/>
    <n v="506100"/>
  </r>
  <r>
    <x v="70"/>
    <x v="1"/>
    <x v="0"/>
    <n v="3206300"/>
  </r>
  <r>
    <x v="71"/>
    <x v="0"/>
    <x v="1"/>
    <n v="2797700"/>
  </r>
  <r>
    <x v="71"/>
    <x v="0"/>
    <x v="0"/>
    <n v="351100"/>
  </r>
  <r>
    <x v="71"/>
    <x v="1"/>
    <x v="1"/>
    <n v="626500"/>
  </r>
  <r>
    <x v="71"/>
    <x v="1"/>
    <x v="0"/>
    <n v="3242000"/>
  </r>
  <r>
    <x v="72"/>
    <x v="0"/>
    <x v="1"/>
    <n v="2740800"/>
  </r>
  <r>
    <x v="72"/>
    <x v="0"/>
    <x v="0"/>
    <n v="340200"/>
  </r>
  <r>
    <x v="72"/>
    <x v="1"/>
    <x v="1"/>
    <n v="750400"/>
  </r>
  <r>
    <x v="72"/>
    <x v="1"/>
    <x v="0"/>
    <n v="3280800"/>
  </r>
  <r>
    <x v="73"/>
    <x v="0"/>
    <x v="1"/>
    <n v="2625200"/>
  </r>
  <r>
    <x v="73"/>
    <x v="0"/>
    <x v="0"/>
    <n v="330900"/>
  </r>
  <r>
    <x v="73"/>
    <x v="1"/>
    <x v="1"/>
    <n v="858400"/>
  </r>
  <r>
    <x v="73"/>
    <x v="1"/>
    <x v="0"/>
    <n v="3321300"/>
  </r>
  <r>
    <x v="74"/>
    <x v="0"/>
    <x v="1"/>
    <n v="2531800"/>
  </r>
  <r>
    <x v="74"/>
    <x v="0"/>
    <x v="0"/>
    <n v="320000"/>
  </r>
  <r>
    <x v="74"/>
    <x v="1"/>
    <x v="1"/>
    <n v="963200"/>
  </r>
  <r>
    <x v="74"/>
    <x v="1"/>
    <x v="0"/>
    <n v="3363400"/>
  </r>
  <r>
    <x v="75"/>
    <x v="0"/>
    <x v="1"/>
    <n v="2438200"/>
  </r>
  <r>
    <x v="75"/>
    <x v="0"/>
    <x v="0"/>
    <n v="309900"/>
  </r>
  <r>
    <x v="75"/>
    <x v="1"/>
    <x v="1"/>
    <n v="1063400"/>
  </r>
  <r>
    <x v="75"/>
    <x v="1"/>
    <x v="0"/>
    <n v="3401700"/>
  </r>
  <r>
    <x v="76"/>
    <x v="0"/>
    <x v="1"/>
    <n v="2356400"/>
  </r>
  <r>
    <x v="76"/>
    <x v="0"/>
    <x v="0"/>
    <n v="300200"/>
  </r>
  <r>
    <x v="76"/>
    <x v="1"/>
    <x v="1"/>
    <n v="1152500"/>
  </r>
  <r>
    <x v="76"/>
    <x v="1"/>
    <x v="0"/>
    <n v="3434600"/>
  </r>
  <r>
    <x v="77"/>
    <x v="0"/>
    <x v="1"/>
    <n v="2294400"/>
  </r>
  <r>
    <x v="77"/>
    <x v="0"/>
    <x v="0"/>
    <n v="289800"/>
  </r>
  <r>
    <x v="77"/>
    <x v="1"/>
    <x v="1"/>
    <n v="1231800"/>
  </r>
  <r>
    <x v="77"/>
    <x v="1"/>
    <x v="0"/>
    <n v="3472700"/>
  </r>
  <r>
    <x v="78"/>
    <x v="0"/>
    <x v="1"/>
    <n v="2233700"/>
  </r>
  <r>
    <x v="78"/>
    <x v="0"/>
    <x v="0"/>
    <n v="280600"/>
  </r>
  <r>
    <x v="78"/>
    <x v="1"/>
    <x v="1"/>
    <n v="1297200"/>
  </r>
  <r>
    <x v="78"/>
    <x v="1"/>
    <x v="0"/>
    <n v="3495800"/>
  </r>
  <r>
    <x v="79"/>
    <x v="0"/>
    <x v="1"/>
    <n v="2177600"/>
  </r>
  <r>
    <x v="79"/>
    <x v="0"/>
    <x v="0"/>
    <n v="273700"/>
  </r>
  <r>
    <x v="79"/>
    <x v="1"/>
    <x v="1"/>
    <n v="1354500"/>
  </r>
  <r>
    <x v="79"/>
    <x v="1"/>
    <x v="0"/>
    <n v="3513900"/>
  </r>
  <r>
    <x v="80"/>
    <x v="0"/>
    <x v="1"/>
    <n v="2123400"/>
  </r>
  <r>
    <x v="80"/>
    <x v="0"/>
    <x v="0"/>
    <n v="265200"/>
  </r>
  <r>
    <x v="80"/>
    <x v="1"/>
    <x v="1"/>
    <n v="1438800"/>
  </r>
  <r>
    <x v="80"/>
    <x v="1"/>
    <x v="0"/>
    <n v="3557200"/>
  </r>
  <r>
    <x v="81"/>
    <x v="0"/>
    <x v="1"/>
    <n v="2069000"/>
  </r>
  <r>
    <x v="81"/>
    <x v="0"/>
    <x v="0"/>
    <n v="257400"/>
  </r>
  <r>
    <x v="81"/>
    <x v="1"/>
    <x v="1"/>
    <n v="1499500"/>
  </r>
  <r>
    <x v="81"/>
    <x v="1"/>
    <x v="0"/>
    <n v="3591400"/>
  </r>
  <r>
    <x v="82"/>
    <x v="0"/>
    <x v="1"/>
    <n v="2031000"/>
  </r>
  <r>
    <x v="82"/>
    <x v="0"/>
    <x v="0"/>
    <n v="249800"/>
  </r>
  <r>
    <x v="82"/>
    <x v="1"/>
    <x v="1"/>
    <n v="1559400"/>
  </r>
  <r>
    <x v="82"/>
    <x v="1"/>
    <x v="0"/>
    <n v="3627500"/>
  </r>
  <r>
    <x v="83"/>
    <x v="0"/>
    <x v="1"/>
    <n v="1998800"/>
  </r>
  <r>
    <x v="83"/>
    <x v="0"/>
    <x v="0"/>
    <n v="242300"/>
  </r>
  <r>
    <x v="83"/>
    <x v="1"/>
    <x v="1"/>
    <n v="1626200"/>
  </r>
  <r>
    <x v="83"/>
    <x v="1"/>
    <x v="0"/>
    <n v="3669700"/>
  </r>
  <r>
    <x v="84"/>
    <x v="0"/>
    <x v="1"/>
    <n v="1967400"/>
  </r>
  <r>
    <x v="84"/>
    <x v="0"/>
    <x v="0"/>
    <n v="235500"/>
  </r>
  <r>
    <x v="84"/>
    <x v="1"/>
    <x v="1"/>
    <n v="1688800"/>
  </r>
  <r>
    <x v="84"/>
    <x v="1"/>
    <x v="0"/>
    <n v="3697900"/>
  </r>
  <r>
    <x v="85"/>
    <x v="0"/>
    <x v="1"/>
    <n v="1928900"/>
  </r>
  <r>
    <x v="85"/>
    <x v="0"/>
    <x v="0"/>
    <n v="233100"/>
  </r>
  <r>
    <x v="85"/>
    <x v="1"/>
    <x v="1"/>
    <n v="1745500"/>
  </r>
  <r>
    <x v="85"/>
    <x v="1"/>
    <x v="0"/>
    <n v="3719300"/>
  </r>
  <r>
    <x v="86"/>
    <x v="0"/>
    <x v="1"/>
    <n v="1891800"/>
  </r>
  <r>
    <x v="86"/>
    <x v="0"/>
    <x v="0"/>
    <n v="226600"/>
  </r>
  <r>
    <x v="86"/>
    <x v="1"/>
    <x v="1"/>
    <n v="1807800"/>
  </r>
  <r>
    <x v="86"/>
    <x v="1"/>
    <x v="0"/>
    <n v="3741300"/>
  </r>
  <r>
    <x v="87"/>
    <x v="0"/>
    <x v="1"/>
    <n v="1857000"/>
  </r>
  <r>
    <x v="87"/>
    <x v="0"/>
    <x v="0"/>
    <n v="218400"/>
  </r>
  <r>
    <x v="87"/>
    <x v="1"/>
    <x v="1"/>
    <n v="1859000"/>
  </r>
  <r>
    <x v="87"/>
    <x v="1"/>
    <x v="0"/>
    <n v="3763400"/>
  </r>
  <r>
    <x v="88"/>
    <x v="0"/>
    <x v="1"/>
    <n v="1822000"/>
  </r>
  <r>
    <x v="88"/>
    <x v="0"/>
    <x v="0"/>
    <n v="211200"/>
  </r>
  <r>
    <x v="88"/>
    <x v="1"/>
    <x v="1"/>
    <n v="1888400"/>
  </r>
  <r>
    <x v="88"/>
    <x v="1"/>
    <x v="0"/>
    <n v="3796400"/>
  </r>
  <r>
    <x v="89"/>
    <x v="0"/>
    <x v="1"/>
    <n v="1795300"/>
  </r>
  <r>
    <x v="89"/>
    <x v="0"/>
    <x v="0"/>
    <n v="204500"/>
  </r>
  <r>
    <x v="89"/>
    <x v="1"/>
    <x v="1"/>
    <n v="1930100"/>
  </r>
  <r>
    <x v="89"/>
    <x v="1"/>
    <x v="0"/>
    <n v="3825300"/>
  </r>
  <r>
    <x v="90"/>
    <x v="0"/>
    <x v="1"/>
    <n v="1764500"/>
  </r>
  <r>
    <x v="90"/>
    <x v="0"/>
    <x v="0"/>
    <n v="198700"/>
  </r>
  <r>
    <x v="90"/>
    <x v="1"/>
    <x v="1"/>
    <n v="1945200"/>
  </r>
  <r>
    <x v="90"/>
    <x v="1"/>
    <x v="0"/>
    <n v="3842300"/>
  </r>
  <r>
    <x v="91"/>
    <x v="0"/>
    <x v="1"/>
    <n v="1726700"/>
  </r>
  <r>
    <x v="91"/>
    <x v="0"/>
    <x v="0"/>
    <n v="193700"/>
  </r>
  <r>
    <x v="91"/>
    <x v="1"/>
    <x v="1"/>
    <n v="1947700"/>
  </r>
  <r>
    <x v="91"/>
    <x v="1"/>
    <x v="0"/>
    <n v="3852400"/>
  </r>
  <r>
    <x v="92"/>
    <x v="0"/>
    <x v="1"/>
    <n v="1687300"/>
  </r>
  <r>
    <x v="92"/>
    <x v="0"/>
    <x v="0"/>
    <n v="189600"/>
  </r>
  <r>
    <x v="92"/>
    <x v="1"/>
    <x v="1"/>
    <n v="2039600"/>
  </r>
  <r>
    <x v="92"/>
    <x v="1"/>
    <x v="0"/>
    <n v="3877800"/>
  </r>
  <r>
    <x v="93"/>
    <x v="0"/>
    <x v="1"/>
    <n v="1656400"/>
  </r>
  <r>
    <x v="93"/>
    <x v="0"/>
    <x v="0"/>
    <n v="186800"/>
  </r>
  <r>
    <x v="93"/>
    <x v="1"/>
    <x v="1"/>
    <n v="2063700"/>
  </r>
  <r>
    <x v="93"/>
    <x v="1"/>
    <x v="0"/>
    <n v="3899900"/>
  </r>
  <r>
    <x v="94"/>
    <x v="0"/>
    <x v="1"/>
    <n v="1630600"/>
  </r>
  <r>
    <x v="94"/>
    <x v="0"/>
    <x v="0"/>
    <n v="181700"/>
  </r>
  <r>
    <x v="94"/>
    <x v="1"/>
    <x v="1"/>
    <n v="2082000"/>
  </r>
  <r>
    <x v="94"/>
    <x v="1"/>
    <x v="0"/>
    <n v="3913900"/>
  </r>
  <r>
    <x v="95"/>
    <x v="0"/>
    <x v="1"/>
    <n v="1603700"/>
  </r>
  <r>
    <x v="95"/>
    <x v="0"/>
    <x v="0"/>
    <n v="176700"/>
  </r>
  <r>
    <x v="95"/>
    <x v="1"/>
    <x v="1"/>
    <n v="2117200"/>
  </r>
  <r>
    <x v="95"/>
    <x v="1"/>
    <x v="0"/>
    <n v="3948500"/>
  </r>
  <r>
    <x v="96"/>
    <x v="0"/>
    <x v="1"/>
    <n v="1561600"/>
  </r>
  <r>
    <x v="96"/>
    <x v="0"/>
    <x v="0"/>
    <n v="171800"/>
  </r>
  <r>
    <x v="96"/>
    <x v="1"/>
    <x v="1"/>
    <n v="2173300"/>
  </r>
  <r>
    <x v="96"/>
    <x v="1"/>
    <x v="0"/>
    <n v="3973300"/>
  </r>
  <r>
    <x v="97"/>
    <x v="0"/>
    <x v="1"/>
    <n v="1547300"/>
  </r>
  <r>
    <x v="97"/>
    <x v="0"/>
    <x v="0"/>
    <n v="168100"/>
  </r>
  <r>
    <x v="97"/>
    <x v="1"/>
    <x v="1"/>
    <n v="2194900"/>
  </r>
  <r>
    <x v="97"/>
    <x v="1"/>
    <x v="0"/>
    <n v="3987400"/>
  </r>
  <r>
    <x v="98"/>
    <x v="0"/>
    <x v="1"/>
    <n v="1517900"/>
  </r>
  <r>
    <x v="98"/>
    <x v="0"/>
    <x v="0"/>
    <n v="165000"/>
  </r>
  <r>
    <x v="98"/>
    <x v="1"/>
    <x v="1"/>
    <n v="2232800"/>
  </r>
  <r>
    <x v="98"/>
    <x v="1"/>
    <x v="0"/>
    <n v="3987900"/>
  </r>
  <r>
    <x v="99"/>
    <x v="0"/>
    <x v="1"/>
    <n v="1485400"/>
  </r>
  <r>
    <x v="99"/>
    <x v="0"/>
    <x v="0"/>
    <n v="161500"/>
  </r>
  <r>
    <x v="99"/>
    <x v="1"/>
    <x v="1"/>
    <n v="2268200"/>
  </r>
  <r>
    <x v="99"/>
    <x v="1"/>
    <x v="0"/>
    <n v="4042000"/>
  </r>
  <r>
    <x v="100"/>
    <x v="0"/>
    <x v="1"/>
    <n v="1453500"/>
  </r>
  <r>
    <x v="100"/>
    <x v="0"/>
    <x v="0"/>
    <n v="157500"/>
  </r>
  <r>
    <x v="100"/>
    <x v="1"/>
    <x v="1"/>
    <n v="2310700"/>
  </r>
  <r>
    <x v="100"/>
    <x v="1"/>
    <x v="0"/>
    <n v="4073700"/>
  </r>
  <r>
    <x v="101"/>
    <x v="0"/>
    <x v="1"/>
    <n v="1429700"/>
  </r>
  <r>
    <x v="101"/>
    <x v="0"/>
    <x v="0"/>
    <n v="152700"/>
  </r>
  <r>
    <x v="101"/>
    <x v="1"/>
    <x v="1"/>
    <n v="2367400"/>
  </r>
  <r>
    <x v="101"/>
    <x v="1"/>
    <x v="0"/>
    <n v="4113200"/>
  </r>
  <r>
    <x v="102"/>
    <x v="0"/>
    <x v="1"/>
    <n v="1396500"/>
  </r>
  <r>
    <x v="102"/>
    <x v="0"/>
    <x v="0"/>
    <n v="149400"/>
  </r>
  <r>
    <x v="102"/>
    <x v="1"/>
    <x v="1"/>
    <n v="2428500"/>
  </r>
  <r>
    <x v="102"/>
    <x v="1"/>
    <x v="0"/>
    <n v="4138400"/>
  </r>
  <r>
    <x v="103"/>
    <x v="0"/>
    <x v="1"/>
    <n v="1362500"/>
  </r>
  <r>
    <x v="103"/>
    <x v="0"/>
    <x v="0"/>
    <n v="147600"/>
  </r>
  <r>
    <x v="103"/>
    <x v="1"/>
    <x v="1"/>
    <n v="2472000"/>
  </r>
  <r>
    <x v="103"/>
    <x v="1"/>
    <x v="0"/>
    <n v="4148000"/>
  </r>
  <r>
    <x v="104"/>
    <x v="0"/>
    <x v="1"/>
    <n v="1320400"/>
  </r>
  <r>
    <x v="104"/>
    <x v="0"/>
    <x v="0"/>
    <n v="145100"/>
  </r>
  <r>
    <x v="104"/>
    <x v="1"/>
    <x v="1"/>
    <n v="2432400"/>
  </r>
  <r>
    <x v="104"/>
    <x v="1"/>
    <x v="0"/>
    <n v="3288700"/>
  </r>
  <r>
    <x v="104"/>
    <x v="2"/>
    <x v="2"/>
    <n v="881100"/>
  </r>
  <r>
    <x v="105"/>
    <x v="0"/>
    <x v="1"/>
    <n v="1289300"/>
  </r>
  <r>
    <x v="105"/>
    <x v="0"/>
    <x v="0"/>
    <n v="140400"/>
  </r>
  <r>
    <x v="105"/>
    <x v="1"/>
    <x v="1"/>
    <n v="2499600"/>
  </r>
  <r>
    <x v="105"/>
    <x v="1"/>
    <x v="0"/>
    <n v="3216200"/>
  </r>
  <r>
    <x v="105"/>
    <x v="2"/>
    <x v="2"/>
    <n v="17000000"/>
  </r>
  <r>
    <x v="106"/>
    <x v="0"/>
    <x v="1"/>
    <n v="1254000"/>
  </r>
  <r>
    <x v="106"/>
    <x v="0"/>
    <x v="0"/>
    <n v="137200"/>
  </r>
  <r>
    <x v="106"/>
    <x v="1"/>
    <x v="1"/>
    <n v="2548100"/>
  </r>
  <r>
    <x v="106"/>
    <x v="1"/>
    <x v="0"/>
    <n v="3099600"/>
  </r>
  <r>
    <x v="106"/>
    <x v="2"/>
    <x v="2"/>
    <n v="1105700"/>
  </r>
  <r>
    <x v="107"/>
    <x v="0"/>
    <x v="1"/>
    <n v="1219400"/>
  </r>
  <r>
    <x v="107"/>
    <x v="0"/>
    <x v="0"/>
    <n v="133300"/>
  </r>
  <r>
    <x v="107"/>
    <x v="1"/>
    <x v="1"/>
    <n v="2606900"/>
  </r>
  <r>
    <x v="107"/>
    <x v="1"/>
    <x v="0"/>
    <n v="3007800"/>
  </r>
  <r>
    <x v="107"/>
    <x v="2"/>
    <x v="2"/>
    <n v="1228800"/>
  </r>
  <r>
    <x v="108"/>
    <x v="0"/>
    <x v="1"/>
    <n v="1185000"/>
  </r>
  <r>
    <x v="108"/>
    <x v="0"/>
    <x v="0"/>
    <n v="130400"/>
  </r>
  <r>
    <x v="108"/>
    <x v="1"/>
    <x v="1"/>
    <n v="2677500"/>
  </r>
  <r>
    <x v="108"/>
    <x v="1"/>
    <x v="0"/>
    <n v="2917200"/>
  </r>
  <r>
    <x v="108"/>
    <x v="2"/>
    <x v="2"/>
    <n v="1348400"/>
  </r>
  <r>
    <x v="109"/>
    <x v="0"/>
    <x v="1"/>
    <n v="1149000"/>
  </r>
  <r>
    <x v="109"/>
    <x v="0"/>
    <x v="0"/>
    <n v="127900"/>
  </r>
  <r>
    <x v="109"/>
    <x v="1"/>
    <x v="1"/>
    <n v="2734300"/>
  </r>
  <r>
    <x v="109"/>
    <x v="1"/>
    <x v="0"/>
    <n v="2844800"/>
  </r>
  <r>
    <x v="109"/>
    <x v="2"/>
    <x v="2"/>
    <n v="9000000"/>
  </r>
  <r>
    <x v="110"/>
    <x v="0"/>
    <x v="1"/>
    <n v="1104900"/>
  </r>
  <r>
    <x v="110"/>
    <x v="0"/>
    <x v="0"/>
    <n v="126800"/>
  </r>
  <r>
    <x v="110"/>
    <x v="1"/>
    <x v="1"/>
    <n v="2780900"/>
  </r>
  <r>
    <x v="110"/>
    <x v="1"/>
    <x v="0"/>
    <n v="2759000"/>
  </r>
  <r>
    <x v="110"/>
    <x v="2"/>
    <x v="2"/>
    <n v="1572500"/>
  </r>
  <r>
    <x v="111"/>
    <x v="0"/>
    <x v="1"/>
    <n v="1064700"/>
  </r>
  <r>
    <x v="111"/>
    <x v="0"/>
    <x v="0"/>
    <n v="125800"/>
  </r>
  <r>
    <x v="111"/>
    <x v="1"/>
    <x v="1"/>
    <n v="2808300"/>
  </r>
  <r>
    <x v="111"/>
    <x v="1"/>
    <x v="0"/>
    <n v="2658300"/>
  </r>
  <r>
    <x v="111"/>
    <x v="2"/>
    <x v="2"/>
    <n v="1687200"/>
  </r>
  <r>
    <x v="112"/>
    <x v="0"/>
    <x v="1"/>
    <n v="1029900"/>
  </r>
  <r>
    <x v="112"/>
    <x v="0"/>
    <x v="0"/>
    <n v="121600"/>
  </r>
  <r>
    <x v="112"/>
    <x v="1"/>
    <x v="1"/>
    <n v="2830000"/>
  </r>
  <r>
    <x v="112"/>
    <x v="1"/>
    <x v="0"/>
    <n v="2533300"/>
  </r>
  <r>
    <x v="112"/>
    <x v="2"/>
    <x v="2"/>
    <n v="1875100"/>
  </r>
  <r>
    <x v="113"/>
    <x v="0"/>
    <x v="1"/>
    <n v="993700"/>
  </r>
  <r>
    <x v="113"/>
    <x v="0"/>
    <x v="0"/>
    <n v="117800"/>
  </r>
  <r>
    <x v="113"/>
    <x v="1"/>
    <x v="1"/>
    <n v="2864400"/>
  </r>
  <r>
    <x v="113"/>
    <x v="1"/>
    <x v="0"/>
    <n v="2393900"/>
  </r>
  <r>
    <x v="113"/>
    <x v="2"/>
    <x v="2"/>
    <n v="2050800"/>
  </r>
  <r>
    <x v="114"/>
    <x v="0"/>
    <x v="1"/>
    <n v="952600"/>
  </r>
  <r>
    <x v="114"/>
    <x v="0"/>
    <x v="0"/>
    <n v="115500"/>
  </r>
  <r>
    <x v="114"/>
    <x v="1"/>
    <x v="1"/>
    <n v="2867400"/>
  </r>
  <r>
    <x v="114"/>
    <x v="1"/>
    <x v="0"/>
    <n v="2296300"/>
  </r>
  <r>
    <x v="114"/>
    <x v="2"/>
    <x v="2"/>
    <n v="2170300"/>
  </r>
  <r>
    <x v="115"/>
    <x v="0"/>
    <x v="1"/>
    <n v="925600"/>
  </r>
  <r>
    <x v="115"/>
    <x v="0"/>
    <x v="0"/>
    <n v="114800"/>
  </r>
  <r>
    <x v="115"/>
    <x v="1"/>
    <x v="1"/>
    <n v="2865900"/>
  </r>
  <r>
    <x v="115"/>
    <x v="1"/>
    <x v="0"/>
    <n v="2220000"/>
  </r>
  <r>
    <x v="115"/>
    <x v="2"/>
    <x v="2"/>
    <n v="2262100"/>
  </r>
  <r>
    <x v="116"/>
    <x v="0"/>
    <x v="1"/>
    <n v="242900"/>
  </r>
  <r>
    <x v="116"/>
    <x v="0"/>
    <x v="0"/>
    <n v="113500"/>
  </r>
  <r>
    <x v="116"/>
    <x v="1"/>
    <x v="1"/>
    <n v="3560500"/>
  </r>
  <r>
    <x v="116"/>
    <x v="1"/>
    <x v="0"/>
    <n v="2142600"/>
  </r>
  <r>
    <x v="116"/>
    <x v="2"/>
    <x v="2"/>
    <n v="2378400"/>
  </r>
  <r>
    <x v="117"/>
    <x v="0"/>
    <x v="1"/>
    <n v="237300"/>
  </r>
  <r>
    <x v="117"/>
    <x v="0"/>
    <x v="0"/>
    <n v="109200"/>
  </r>
  <r>
    <x v="117"/>
    <x v="1"/>
    <x v="1"/>
    <n v="3483900"/>
  </r>
  <r>
    <x v="117"/>
    <x v="1"/>
    <x v="0"/>
    <n v="2066400"/>
  </r>
  <r>
    <x v="117"/>
    <x v="2"/>
    <x v="1"/>
    <n v="91600"/>
  </r>
  <r>
    <x v="117"/>
    <x v="2"/>
    <x v="0"/>
    <n v="2403700"/>
  </r>
  <r>
    <x v="118"/>
    <x v="0"/>
    <x v="1"/>
    <n v="233300"/>
  </r>
  <r>
    <x v="118"/>
    <x v="0"/>
    <x v="0"/>
    <n v="107100"/>
  </r>
  <r>
    <x v="118"/>
    <x v="1"/>
    <x v="1"/>
    <n v="3432400"/>
  </r>
  <r>
    <x v="118"/>
    <x v="1"/>
    <x v="0"/>
    <n v="1994100"/>
  </r>
  <r>
    <x v="118"/>
    <x v="2"/>
    <x v="1"/>
    <n v="1000000"/>
  </r>
  <r>
    <x v="118"/>
    <x v="2"/>
    <x v="0"/>
    <n v="2491400"/>
  </r>
  <r>
    <x v="119"/>
    <x v="0"/>
    <x v="1"/>
    <n v="226800"/>
  </r>
  <r>
    <x v="119"/>
    <x v="0"/>
    <x v="0"/>
    <n v="103900"/>
  </r>
  <r>
    <x v="119"/>
    <x v="1"/>
    <x v="1"/>
    <n v="3336700"/>
  </r>
  <r>
    <x v="119"/>
    <x v="1"/>
    <x v="0"/>
    <n v="1941900"/>
  </r>
  <r>
    <x v="119"/>
    <x v="2"/>
    <x v="1"/>
    <n v="135300"/>
  </r>
  <r>
    <x v="119"/>
    <x v="2"/>
    <x v="0"/>
    <n v="2566100"/>
  </r>
  <r>
    <x v="120"/>
    <x v="0"/>
    <x v="1"/>
    <n v="222100"/>
  </r>
  <r>
    <x v="120"/>
    <x v="0"/>
    <x v="0"/>
    <n v="100700"/>
  </r>
  <r>
    <x v="120"/>
    <x v="1"/>
    <x v="1"/>
    <n v="3260300"/>
  </r>
  <r>
    <x v="120"/>
    <x v="1"/>
    <x v="0"/>
    <n v="1950900"/>
  </r>
  <r>
    <x v="120"/>
    <x v="2"/>
    <x v="1"/>
    <n v="162700"/>
  </r>
  <r>
    <x v="120"/>
    <x v="2"/>
    <x v="0"/>
    <n v="40000000"/>
  </r>
  <r>
    <x v="121"/>
    <x v="0"/>
    <x v="1"/>
    <n v="218600"/>
  </r>
  <r>
    <x v="121"/>
    <x v="0"/>
    <x v="0"/>
    <n v="98500"/>
  </r>
  <r>
    <x v="121"/>
    <x v="1"/>
    <x v="1"/>
    <n v="3199600"/>
  </r>
  <r>
    <x v="121"/>
    <x v="1"/>
    <x v="0"/>
    <n v="1901900"/>
  </r>
  <r>
    <x v="121"/>
    <x v="2"/>
    <x v="1"/>
    <n v="184500"/>
  </r>
  <r>
    <x v="121"/>
    <x v="2"/>
    <x v="0"/>
    <n v="2626200"/>
  </r>
  <r>
    <x v="122"/>
    <x v="0"/>
    <x v="1"/>
    <n v="216300"/>
  </r>
  <r>
    <x v="122"/>
    <x v="0"/>
    <x v="0"/>
    <n v="97100"/>
  </r>
  <r>
    <x v="122"/>
    <x v="1"/>
    <x v="1"/>
    <n v="3100800"/>
  </r>
  <r>
    <x v="122"/>
    <x v="1"/>
    <x v="0"/>
    <n v="1864300"/>
  </r>
  <r>
    <x v="122"/>
    <x v="2"/>
    <x v="1"/>
    <n v="199500"/>
  </r>
  <r>
    <x v="122"/>
    <x v="2"/>
    <x v="0"/>
    <n v="2676400"/>
  </r>
  <r>
    <x v="123"/>
    <x v="0"/>
    <x v="1"/>
    <n v="215500"/>
  </r>
  <r>
    <x v="123"/>
    <x v="0"/>
    <x v="0"/>
    <n v="95000"/>
  </r>
  <r>
    <x v="123"/>
    <x v="1"/>
    <x v="1"/>
    <n v="3053900"/>
  </r>
  <r>
    <x v="123"/>
    <x v="1"/>
    <x v="0"/>
    <n v="1799000"/>
  </r>
  <r>
    <x v="123"/>
    <x v="2"/>
    <x v="1"/>
    <n v="213400"/>
  </r>
  <r>
    <x v="123"/>
    <x v="2"/>
    <x v="0"/>
    <n v="2759400"/>
  </r>
  <r>
    <x v="124"/>
    <x v="0"/>
    <x v="1"/>
    <n v="216200"/>
  </r>
  <r>
    <x v="124"/>
    <x v="0"/>
    <x v="0"/>
    <n v="92700"/>
  </r>
  <r>
    <x v="124"/>
    <x v="1"/>
    <x v="1"/>
    <n v="2977200"/>
  </r>
  <r>
    <x v="124"/>
    <x v="1"/>
    <x v="0"/>
    <n v="1734800"/>
  </r>
  <r>
    <x v="124"/>
    <x v="2"/>
    <x v="1"/>
    <n v="239600"/>
  </r>
  <r>
    <x v="124"/>
    <x v="2"/>
    <x v="0"/>
    <n v="2847400"/>
  </r>
  <r>
    <x v="125"/>
    <x v="0"/>
    <x v="1"/>
    <n v="213100"/>
  </r>
  <r>
    <x v="125"/>
    <x v="0"/>
    <x v="0"/>
    <n v="89800"/>
  </r>
  <r>
    <x v="125"/>
    <x v="1"/>
    <x v="1"/>
    <n v="2934400"/>
  </r>
  <r>
    <x v="125"/>
    <x v="1"/>
    <x v="0"/>
    <n v="1674400"/>
  </r>
  <r>
    <x v="125"/>
    <x v="2"/>
    <x v="1"/>
    <n v="257600"/>
  </r>
  <r>
    <x v="125"/>
    <x v="2"/>
    <x v="0"/>
    <n v="2924000"/>
  </r>
  <r>
    <x v="126"/>
    <x v="0"/>
    <x v="1"/>
    <n v="205400"/>
  </r>
  <r>
    <x v="126"/>
    <x v="0"/>
    <x v="0"/>
    <n v="87200"/>
  </r>
  <r>
    <x v="126"/>
    <x v="1"/>
    <x v="1"/>
    <n v="2887200"/>
  </r>
  <r>
    <x v="126"/>
    <x v="1"/>
    <x v="0"/>
    <n v="1621900"/>
  </r>
  <r>
    <x v="126"/>
    <x v="2"/>
    <x v="1"/>
    <n v="313700"/>
  </r>
  <r>
    <x v="126"/>
    <x v="2"/>
    <x v="0"/>
    <n v="2991300"/>
  </r>
  <r>
    <x v="127"/>
    <x v="0"/>
    <x v="1"/>
    <n v="205700"/>
  </r>
  <r>
    <x v="127"/>
    <x v="0"/>
    <x v="0"/>
    <n v="85200"/>
  </r>
  <r>
    <x v="127"/>
    <x v="1"/>
    <x v="1"/>
    <n v="2831100"/>
  </r>
  <r>
    <x v="127"/>
    <x v="1"/>
    <x v="0"/>
    <n v="1589200"/>
  </r>
  <r>
    <x v="127"/>
    <x v="2"/>
    <x v="1"/>
    <n v="90000000"/>
  </r>
  <r>
    <x v="127"/>
    <x v="2"/>
    <x v="0"/>
    <n v="3035300"/>
  </r>
  <r>
    <x v="128"/>
    <x v="0"/>
    <x v="1"/>
    <n v="203500"/>
  </r>
  <r>
    <x v="128"/>
    <x v="0"/>
    <x v="0"/>
    <n v="83100"/>
  </r>
  <r>
    <x v="128"/>
    <x v="1"/>
    <x v="1"/>
    <n v="2781900"/>
  </r>
  <r>
    <x v="128"/>
    <x v="1"/>
    <x v="0"/>
    <n v="1559900"/>
  </r>
  <r>
    <x v="128"/>
    <x v="2"/>
    <x v="1"/>
    <n v="80000000"/>
  </r>
  <r>
    <x v="128"/>
    <x v="2"/>
    <x v="0"/>
    <n v="3080100"/>
  </r>
  <r>
    <x v="129"/>
    <x v="0"/>
    <x v="1"/>
    <n v="203700"/>
  </r>
  <r>
    <x v="129"/>
    <x v="0"/>
    <x v="0"/>
    <n v="81800"/>
  </r>
  <r>
    <x v="129"/>
    <x v="1"/>
    <x v="1"/>
    <n v="2757100"/>
  </r>
  <r>
    <x v="129"/>
    <x v="1"/>
    <x v="0"/>
    <n v="1530400"/>
  </r>
  <r>
    <x v="129"/>
    <x v="2"/>
    <x v="1"/>
    <n v="425400"/>
  </r>
  <r>
    <x v="129"/>
    <x v="2"/>
    <x v="0"/>
    <n v="3125500"/>
  </r>
  <r>
    <x v="130"/>
    <x v="0"/>
    <x v="1"/>
    <n v="195200"/>
  </r>
  <r>
    <x v="130"/>
    <x v="0"/>
    <x v="0"/>
    <n v="80300"/>
  </r>
  <r>
    <x v="130"/>
    <x v="1"/>
    <x v="1"/>
    <n v="2730700"/>
  </r>
  <r>
    <x v="130"/>
    <x v="1"/>
    <x v="0"/>
    <n v="1497500"/>
  </r>
  <r>
    <x v="130"/>
    <x v="2"/>
    <x v="1"/>
    <n v="446200"/>
  </r>
  <r>
    <x v="130"/>
    <x v="2"/>
    <x v="0"/>
    <n v="3168000"/>
  </r>
  <r>
    <x v="131"/>
    <x v="0"/>
    <x v="1"/>
    <n v="191600"/>
  </r>
  <r>
    <x v="131"/>
    <x v="0"/>
    <x v="0"/>
    <n v="77900"/>
  </r>
  <r>
    <x v="131"/>
    <x v="1"/>
    <x v="1"/>
    <n v="2721400"/>
  </r>
  <r>
    <x v="131"/>
    <x v="1"/>
    <x v="0"/>
    <n v="1468400"/>
  </r>
  <r>
    <x v="131"/>
    <x v="2"/>
    <x v="1"/>
    <n v="454600"/>
  </r>
  <r>
    <x v="131"/>
    <x v="2"/>
    <x v="0"/>
    <n v="3212700"/>
  </r>
  <r>
    <x v="132"/>
    <x v="0"/>
    <x v="1"/>
    <n v="179900"/>
  </r>
  <r>
    <x v="132"/>
    <x v="0"/>
    <x v="0"/>
    <n v="76500"/>
  </r>
  <r>
    <x v="132"/>
    <x v="1"/>
    <x v="1"/>
    <n v="2726700"/>
  </r>
  <r>
    <x v="132"/>
    <x v="1"/>
    <x v="0"/>
    <n v="1436100"/>
  </r>
  <r>
    <x v="132"/>
    <x v="2"/>
    <x v="1"/>
    <n v="464600"/>
  </r>
  <r>
    <x v="132"/>
    <x v="2"/>
    <x v="0"/>
    <n v="3259100"/>
  </r>
  <r>
    <x v="133"/>
    <x v="0"/>
    <x v="1"/>
    <n v="180300"/>
  </r>
  <r>
    <x v="133"/>
    <x v="0"/>
    <x v="0"/>
    <n v="71900"/>
  </r>
  <r>
    <x v="133"/>
    <x v="1"/>
    <x v="1"/>
    <n v="2730400"/>
  </r>
  <r>
    <x v="133"/>
    <x v="1"/>
    <x v="0"/>
    <n v="1408100"/>
  </r>
  <r>
    <x v="133"/>
    <x v="2"/>
    <x v="1"/>
    <n v="467200"/>
  </r>
  <r>
    <x v="133"/>
    <x v="2"/>
    <x v="0"/>
    <n v="3308200"/>
  </r>
  <r>
    <x v="134"/>
    <x v="0"/>
    <x v="1"/>
    <n v="180000"/>
  </r>
  <r>
    <x v="134"/>
    <x v="0"/>
    <x v="0"/>
    <n v="69100"/>
  </r>
  <r>
    <x v="134"/>
    <x v="1"/>
    <x v="1"/>
    <n v="2730100"/>
  </r>
  <r>
    <x v="134"/>
    <x v="1"/>
    <x v="0"/>
    <n v="1308100"/>
  </r>
  <r>
    <x v="134"/>
    <x v="2"/>
    <x v="1"/>
    <n v="456100"/>
  </r>
  <r>
    <x v="134"/>
    <x v="2"/>
    <x v="0"/>
    <n v="3421300"/>
  </r>
  <r>
    <x v="135"/>
    <x v="0"/>
    <x v="1"/>
    <n v="188000"/>
  </r>
  <r>
    <x v="135"/>
    <x v="0"/>
    <x v="0"/>
    <n v="64800"/>
  </r>
  <r>
    <x v="135"/>
    <x v="1"/>
    <x v="1"/>
    <n v="2718400"/>
  </r>
  <r>
    <x v="135"/>
    <x v="1"/>
    <x v="0"/>
    <n v="1294400"/>
  </r>
  <r>
    <x v="135"/>
    <x v="2"/>
    <x v="1"/>
    <n v="448400"/>
  </r>
  <r>
    <x v="135"/>
    <x v="2"/>
    <x v="0"/>
    <n v="3451000"/>
  </r>
  <r>
    <x v="136"/>
    <x v="0"/>
    <x v="1"/>
    <n v="175400"/>
  </r>
  <r>
    <x v="136"/>
    <x v="0"/>
    <x v="0"/>
    <n v="52000"/>
  </r>
  <r>
    <x v="136"/>
    <x v="1"/>
    <x v="1"/>
    <n v="2725000"/>
  </r>
  <r>
    <x v="136"/>
    <x v="1"/>
    <x v="0"/>
    <n v="1231100"/>
  </r>
  <r>
    <x v="136"/>
    <x v="2"/>
    <x v="1"/>
    <n v="70000000"/>
  </r>
  <r>
    <x v="136"/>
    <x v="2"/>
    <x v="0"/>
    <n v="3540300"/>
  </r>
  <r>
    <x v="137"/>
    <x v="0"/>
    <x v="1"/>
    <n v="172400"/>
  </r>
  <r>
    <x v="137"/>
    <x v="0"/>
    <x v="0"/>
    <n v="49200"/>
  </r>
  <r>
    <x v="137"/>
    <x v="1"/>
    <x v="1"/>
    <n v="2750100"/>
  </r>
  <r>
    <x v="137"/>
    <x v="1"/>
    <x v="0"/>
    <n v="1163400"/>
  </r>
  <r>
    <x v="137"/>
    <x v="2"/>
    <x v="1"/>
    <n v="447700"/>
  </r>
  <r>
    <x v="137"/>
    <x v="2"/>
    <x v="0"/>
    <n v="3628600"/>
  </r>
  <r>
    <x v="138"/>
    <x v="0"/>
    <x v="1"/>
    <n v="156800"/>
  </r>
  <r>
    <x v="138"/>
    <x v="0"/>
    <x v="0"/>
    <n v="46800"/>
  </r>
  <r>
    <x v="138"/>
    <x v="1"/>
    <x v="1"/>
    <n v="2759400"/>
  </r>
  <r>
    <x v="138"/>
    <x v="1"/>
    <x v="0"/>
    <n v="1124100"/>
  </r>
  <r>
    <x v="138"/>
    <x v="2"/>
    <x v="1"/>
    <n v="450900"/>
  </r>
  <r>
    <x v="138"/>
    <x v="2"/>
    <x v="0"/>
    <n v="3690100"/>
  </r>
  <r>
    <x v="139"/>
    <x v="0"/>
    <x v="1"/>
    <n v="39500"/>
  </r>
  <r>
    <x v="139"/>
    <x v="0"/>
    <x v="0"/>
    <n v="151800"/>
  </r>
  <r>
    <x v="139"/>
    <x v="1"/>
    <x v="1"/>
    <n v="2757700"/>
  </r>
  <r>
    <x v="139"/>
    <x v="1"/>
    <x v="0"/>
    <n v="1112400"/>
  </r>
  <r>
    <x v="139"/>
    <x v="2"/>
    <x v="1"/>
    <n v="449500"/>
  </r>
  <r>
    <x v="139"/>
    <x v="2"/>
    <x v="0"/>
    <n v="3725700"/>
  </r>
  <r>
    <x v="140"/>
    <x v="0"/>
    <x v="1"/>
    <n v="146300"/>
  </r>
  <r>
    <x v="140"/>
    <x v="0"/>
    <x v="0"/>
    <n v="38800"/>
  </r>
  <r>
    <x v="140"/>
    <x v="1"/>
    <x v="1"/>
    <n v="2741400"/>
  </r>
  <r>
    <x v="140"/>
    <x v="1"/>
    <x v="0"/>
    <n v="1064900"/>
  </r>
  <r>
    <x v="140"/>
    <x v="2"/>
    <x v="1"/>
    <n v="471200"/>
  </r>
  <r>
    <x v="140"/>
    <x v="2"/>
    <x v="0"/>
    <n v="3770500"/>
  </r>
  <r>
    <x v="141"/>
    <x v="0"/>
    <x v="1"/>
    <n v="141400"/>
  </r>
  <r>
    <x v="141"/>
    <x v="0"/>
    <x v="0"/>
    <n v="36200"/>
  </r>
  <r>
    <x v="141"/>
    <x v="1"/>
    <x v="1"/>
    <n v="2744100"/>
  </r>
  <r>
    <x v="141"/>
    <x v="1"/>
    <x v="0"/>
    <n v="1041600"/>
  </r>
  <r>
    <x v="141"/>
    <x v="2"/>
    <x v="1"/>
    <n v="476200"/>
  </r>
  <r>
    <x v="141"/>
    <x v="2"/>
    <x v="0"/>
    <n v="3814400"/>
  </r>
  <r>
    <x v="142"/>
    <x v="0"/>
    <x v="1"/>
    <n v="136800"/>
  </r>
  <r>
    <x v="142"/>
    <x v="0"/>
    <x v="0"/>
    <n v="35300"/>
  </r>
  <r>
    <x v="142"/>
    <x v="1"/>
    <x v="1"/>
    <n v="2732200"/>
  </r>
  <r>
    <x v="142"/>
    <x v="1"/>
    <x v="0"/>
    <n v="992900"/>
  </r>
  <r>
    <x v="142"/>
    <x v="2"/>
    <x v="1"/>
    <n v="511700"/>
  </r>
  <r>
    <x v="142"/>
    <x v="2"/>
    <x v="0"/>
    <n v="3862100"/>
  </r>
  <r>
    <x v="143"/>
    <x v="0"/>
    <x v="1"/>
    <n v="133000"/>
  </r>
  <r>
    <x v="143"/>
    <x v="0"/>
    <x v="0"/>
    <n v="34700"/>
  </r>
  <r>
    <x v="143"/>
    <x v="1"/>
    <x v="1"/>
    <n v="2727700"/>
  </r>
  <r>
    <x v="143"/>
    <x v="1"/>
    <x v="0"/>
    <n v="970500"/>
  </r>
  <r>
    <x v="143"/>
    <x v="2"/>
    <x v="1"/>
    <n v="541300"/>
  </r>
  <r>
    <x v="143"/>
    <x v="2"/>
    <x v="0"/>
    <n v="3901000"/>
  </r>
  <r>
    <x v="144"/>
    <x v="0"/>
    <x v="1"/>
    <n v="129800"/>
  </r>
  <r>
    <x v="144"/>
    <x v="0"/>
    <x v="0"/>
    <n v="33800"/>
  </r>
  <r>
    <x v="144"/>
    <x v="1"/>
    <x v="1"/>
    <n v="2751000"/>
  </r>
  <r>
    <x v="144"/>
    <x v="1"/>
    <x v="0"/>
    <n v="953700"/>
  </r>
  <r>
    <x v="144"/>
    <x v="2"/>
    <x v="1"/>
    <n v="549500"/>
  </r>
  <r>
    <x v="144"/>
    <x v="2"/>
    <x v="0"/>
    <n v="3931400"/>
  </r>
  <r>
    <x v="145"/>
    <x v="0"/>
    <x v="1"/>
    <n v="127200"/>
  </r>
  <r>
    <x v="145"/>
    <x v="0"/>
    <x v="0"/>
    <n v="33200"/>
  </r>
  <r>
    <x v="145"/>
    <x v="1"/>
    <x v="1"/>
    <n v="2706000"/>
  </r>
  <r>
    <x v="145"/>
    <x v="1"/>
    <x v="0"/>
    <n v="928800"/>
  </r>
  <r>
    <x v="145"/>
    <x v="2"/>
    <x v="1"/>
    <n v="600000"/>
  </r>
  <r>
    <x v="145"/>
    <x v="2"/>
    <x v="0"/>
    <n v="3971400"/>
  </r>
  <r>
    <x v="146"/>
    <x v="0"/>
    <x v="1"/>
    <n v="110600"/>
  </r>
  <r>
    <x v="146"/>
    <x v="0"/>
    <x v="0"/>
    <n v="32700"/>
  </r>
  <r>
    <x v="146"/>
    <x v="1"/>
    <x v="1"/>
    <n v="2712400"/>
  </r>
  <r>
    <x v="146"/>
    <x v="1"/>
    <x v="0"/>
    <n v="908100"/>
  </r>
  <r>
    <x v="146"/>
    <x v="2"/>
    <x v="1"/>
    <n v="614200"/>
  </r>
  <r>
    <x v="146"/>
    <x v="2"/>
    <x v="0"/>
    <n v="3996000"/>
  </r>
  <r>
    <x v="147"/>
    <x v="0"/>
    <x v="1"/>
    <n v="107600"/>
  </r>
  <r>
    <x v="147"/>
    <x v="0"/>
    <x v="0"/>
    <n v="32200"/>
  </r>
  <r>
    <x v="147"/>
    <x v="1"/>
    <x v="1"/>
    <n v="2676400"/>
  </r>
  <r>
    <x v="147"/>
    <x v="1"/>
    <x v="0"/>
    <n v="890800"/>
  </r>
  <r>
    <x v="147"/>
    <x v="2"/>
    <x v="1"/>
    <n v="631400"/>
  </r>
  <r>
    <x v="147"/>
    <x v="2"/>
    <x v="0"/>
    <n v="4024000"/>
  </r>
  <r>
    <x v="148"/>
    <x v="0"/>
    <x v="1"/>
    <n v="104700"/>
  </r>
  <r>
    <x v="148"/>
    <x v="0"/>
    <x v="0"/>
    <n v="31600"/>
  </r>
  <r>
    <x v="148"/>
    <x v="1"/>
    <x v="1"/>
    <n v="2665200"/>
  </r>
  <r>
    <x v="148"/>
    <x v="1"/>
    <x v="0"/>
    <n v="875300"/>
  </r>
  <r>
    <x v="148"/>
    <x v="2"/>
    <x v="1"/>
    <n v="639000"/>
  </r>
  <r>
    <x v="148"/>
    <x v="2"/>
    <x v="0"/>
    <n v="4050900"/>
  </r>
  <r>
    <x v="149"/>
    <x v="0"/>
    <x v="1"/>
    <n v="101400"/>
  </r>
  <r>
    <x v="149"/>
    <x v="0"/>
    <x v="0"/>
    <n v="30900"/>
  </r>
  <r>
    <x v="149"/>
    <x v="1"/>
    <x v="1"/>
    <n v="2556400"/>
  </r>
  <r>
    <x v="149"/>
    <x v="1"/>
    <x v="0"/>
    <n v="855700"/>
  </r>
  <r>
    <x v="149"/>
    <x v="2"/>
    <x v="1"/>
    <n v="770100"/>
  </r>
  <r>
    <x v="149"/>
    <x v="2"/>
    <x v="0"/>
    <n v="4085100"/>
  </r>
  <r>
    <x v="150"/>
    <x v="0"/>
    <x v="1"/>
    <n v="30300"/>
  </r>
  <r>
    <x v="150"/>
    <x v="0"/>
    <x v="0"/>
    <n v="98700"/>
  </r>
  <r>
    <x v="150"/>
    <x v="1"/>
    <x v="1"/>
    <n v="817000"/>
  </r>
  <r>
    <x v="150"/>
    <x v="1"/>
    <x v="0"/>
    <n v="1828500"/>
  </r>
  <r>
    <x v="150"/>
    <x v="2"/>
    <x v="1"/>
    <n v="4140400"/>
  </r>
  <r>
    <x v="150"/>
    <x v="2"/>
    <x v="0"/>
    <n v="1484900"/>
  </r>
  <r>
    <x v="151"/>
    <x v="0"/>
    <x v="1"/>
    <n v="29400"/>
  </r>
  <r>
    <x v="151"/>
    <x v="0"/>
    <x v="0"/>
    <n v="95800"/>
  </r>
  <r>
    <x v="151"/>
    <x v="1"/>
    <x v="1"/>
    <n v="806700"/>
  </r>
  <r>
    <x v="151"/>
    <x v="1"/>
    <x v="0"/>
    <n v="1748200"/>
  </r>
  <r>
    <x v="151"/>
    <x v="2"/>
    <x v="1"/>
    <n v="4163400"/>
  </r>
  <r>
    <x v="151"/>
    <x v="2"/>
    <x v="0"/>
    <n v="1561300"/>
  </r>
  <r>
    <x v="152"/>
    <x v="0"/>
    <x v="1"/>
    <n v="25000"/>
  </r>
  <r>
    <x v="152"/>
    <x v="0"/>
    <x v="0"/>
    <n v="89700"/>
  </r>
  <r>
    <x v="152"/>
    <x v="1"/>
    <x v="1"/>
    <n v="794400"/>
  </r>
  <r>
    <x v="152"/>
    <x v="1"/>
    <x v="0"/>
    <n v="1718600"/>
  </r>
  <r>
    <x v="152"/>
    <x v="2"/>
    <x v="1"/>
    <n v="4225800"/>
  </r>
  <r>
    <x v="152"/>
    <x v="2"/>
    <x v="0"/>
    <n v="1607100"/>
  </r>
  <r>
    <x v="153"/>
    <x v="0"/>
    <x v="1"/>
    <n v="0"/>
  </r>
  <r>
    <x v="153"/>
    <x v="0"/>
    <x v="0"/>
    <n v="0"/>
  </r>
  <r>
    <x v="153"/>
    <x v="1"/>
    <x v="1"/>
    <n v="805000"/>
  </r>
  <r>
    <x v="153"/>
    <x v="1"/>
    <x v="0"/>
    <n v="1760900"/>
  </r>
  <r>
    <x v="153"/>
    <x v="2"/>
    <x v="1"/>
    <n v="4260100"/>
  </r>
  <r>
    <x v="153"/>
    <x v="2"/>
    <x v="0"/>
    <n v="1642400"/>
  </r>
  <r>
    <x v="154"/>
    <x v="0"/>
    <x v="1"/>
    <n v="0"/>
  </r>
  <r>
    <x v="154"/>
    <x v="0"/>
    <x v="0"/>
    <n v="0"/>
  </r>
  <r>
    <x v="154"/>
    <x v="1"/>
    <x v="1"/>
    <n v="787900"/>
  </r>
  <r>
    <x v="154"/>
    <x v="1"/>
    <x v="0"/>
    <n v="1730500"/>
  </r>
  <r>
    <x v="154"/>
    <x v="2"/>
    <x v="1"/>
    <n v="4275400"/>
  </r>
  <r>
    <x v="154"/>
    <x v="2"/>
    <x v="0"/>
    <n v="1667600"/>
  </r>
  <r>
    <x v="155"/>
    <x v="0"/>
    <x v="1"/>
    <n v="0"/>
  </r>
  <r>
    <x v="155"/>
    <x v="0"/>
    <x v="0"/>
    <n v="0"/>
  </r>
  <r>
    <x v="155"/>
    <x v="1"/>
    <x v="1"/>
    <n v="771200"/>
  </r>
  <r>
    <x v="155"/>
    <x v="1"/>
    <x v="0"/>
    <n v="1718500"/>
  </r>
  <r>
    <x v="155"/>
    <x v="2"/>
    <x v="1"/>
    <n v="4298400"/>
  </r>
  <r>
    <x v="155"/>
    <x v="2"/>
    <x v="0"/>
    <n v="1676400"/>
  </r>
  <r>
    <x v="156"/>
    <x v="0"/>
    <x v="1"/>
    <n v="0"/>
  </r>
  <r>
    <x v="156"/>
    <x v="0"/>
    <x v="0"/>
    <n v="0"/>
  </r>
  <r>
    <x v="156"/>
    <x v="1"/>
    <x v="1"/>
    <n v="760700"/>
  </r>
  <r>
    <x v="156"/>
    <x v="1"/>
    <x v="0"/>
    <n v="1703000"/>
  </r>
  <r>
    <x v="156"/>
    <x v="2"/>
    <x v="1"/>
    <n v="4329100"/>
  </r>
  <r>
    <x v="156"/>
    <x v="2"/>
    <x v="0"/>
    <n v="1690000"/>
  </r>
  <r>
    <x v="157"/>
    <x v="0"/>
    <x v="1"/>
    <n v="0"/>
  </r>
  <r>
    <x v="157"/>
    <x v="0"/>
    <x v="0"/>
    <n v="0"/>
  </r>
  <r>
    <x v="157"/>
    <x v="1"/>
    <x v="1"/>
    <n v="702100"/>
  </r>
  <r>
    <x v="157"/>
    <x v="1"/>
    <x v="0"/>
    <n v="1690000"/>
  </r>
  <r>
    <x v="157"/>
    <x v="2"/>
    <x v="1"/>
    <n v="4366200"/>
  </r>
  <r>
    <x v="157"/>
    <x v="2"/>
    <x v="0"/>
    <n v="1642500"/>
  </r>
  <r>
    <x v="158"/>
    <x v="0"/>
    <x v="1"/>
    <n v="0"/>
  </r>
  <r>
    <x v="158"/>
    <x v="0"/>
    <x v="0"/>
    <n v="0"/>
  </r>
  <r>
    <x v="158"/>
    <x v="1"/>
    <x v="1"/>
    <n v="686000"/>
  </r>
  <r>
    <x v="158"/>
    <x v="1"/>
    <x v="0"/>
    <n v="1679800"/>
  </r>
  <r>
    <x v="158"/>
    <x v="2"/>
    <x v="1"/>
    <n v="4377700"/>
  </r>
  <r>
    <x v="158"/>
    <x v="2"/>
    <x v="0"/>
    <n v="1629400"/>
  </r>
  <r>
    <x v="159"/>
    <x v="0"/>
    <x v="1"/>
    <n v="0"/>
  </r>
  <r>
    <x v="159"/>
    <x v="0"/>
    <x v="0"/>
    <n v="0"/>
  </r>
  <r>
    <x v="159"/>
    <x v="1"/>
    <x v="1"/>
    <n v="671000"/>
  </r>
  <r>
    <x v="159"/>
    <x v="1"/>
    <x v="0"/>
    <n v="1678100"/>
  </r>
  <r>
    <x v="159"/>
    <x v="2"/>
    <x v="1"/>
    <n v="4403500"/>
  </r>
  <r>
    <x v="159"/>
    <x v="2"/>
    <x v="0"/>
    <n v="1600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7020E-BB5E-4124-9E67-0A2D60590295}" name="TablaDinámica2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6">
  <location ref="AK5:AL8" firstHeaderRow="1" firstDataRow="1" firstDataCol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multipleItemSelectionAllowed="1" showAll="0"/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2"/>
  </rowFields>
  <rowItems count="3">
    <i>
      <x v="3"/>
    </i>
    <i>
      <x v="4"/>
    </i>
    <i>
      <x v="5"/>
    </i>
  </rowItems>
  <colItems count="1">
    <i/>
  </colItems>
  <dataFields count="1">
    <dataField name="Cuenta de number_of_subscriptions" fld="3" subtotal="count" baseField="1" baseItem="0"/>
  </dataFields>
  <formats count="1">
    <format dxfId="12">
      <pivotArea outline="0" collapsedLevelsAreSubtotals="1" fieldPosition="0"/>
    </format>
  </formats>
  <chartFormats count="7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DD6550-625C-402B-9E66-DF21B50DDC12}" name="TablaDinámica1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>
  <location ref="AG5:AH8" firstHeaderRow="1" firstDataRow="1" firstDataCol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Row" multipleItemSelectionAllowed="1" showAll="0">
      <items count="4">
        <item x="0"/>
        <item x="1"/>
        <item x="2"/>
        <item t="default"/>
      </items>
    </pivotField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Cuenta de number_of_subscriptions" fld="3" subtotal="count" baseField="1" baseItem="0"/>
  </dataFields>
  <formats count="1">
    <format dxfId="14">
      <pivotArea outline="0" collapsedLevelsAreSubtotals="1" fieldPosition="0"/>
    </format>
  </formats>
  <chartFormats count="5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3C064-EAE7-4F90-82C8-6AA465C5F79D}" name="TablaDinámica10" cacheId="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4">
  <location ref="J5:K18" firstHeaderRow="1" firstDataRow="1" firstDataCol="1" rowPageCount="1" colPageCount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1" item="0" hier="-1"/>
  </pageFields>
  <dataFields count="1">
    <dataField name="Total Sub" fld="3" baseField="2" baseItem="0"/>
  </dataFields>
  <formats count="1">
    <format dxfId="20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75594-7094-45C6-BC3E-CA28053719F2}" name="TablaDinámica14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P23:P37" firstHeaderRow="1" firstDataRow="1" firstDataCol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multipleItemSelectionAllowed="1"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6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1A7C8E-088D-4E18-B6E0-2A141FEACB7A}" name="TablaDinámica9" cacheId="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5">
  <location ref="G5:H18" firstHeaderRow="1" firstDataRow="1" firstDataCol="1" rowPageCount="1" colPageCount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1" hier="-1"/>
  </pageFields>
  <dataFields count="1">
    <dataField name="Total Sub" fld="3" baseField="2" baseItem="0"/>
  </dataFields>
  <formats count="1">
    <format dxfId="21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4CA030-E60D-4B69-B954-78A056B60366}" name="TablaDinámica8" cacheId="6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outline="1" outlineData="1" multipleFieldFilters="0">
  <location ref="D7:E10" firstHeaderRow="1" firstDataRow="1" firstDataCol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Total Sub" fld="3" baseField="2" baseItem="0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12F3C-4059-41D5-B7DA-257CE8E67149}" name="TablaDinámica13" cacheId="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4">
  <location ref="T5:U11" firstHeaderRow="1" firstDataRow="1" firstDataCol="1" rowPageCount="1" colPageCount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6"/>
  </rowFields>
  <rowItems count="6"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1">
    <pageField fld="1" hier="-1"/>
  </pageFields>
  <dataFields count="1">
    <dataField name="Total Sub" fld="3" baseField="2" baseItem="0"/>
  </dataFields>
  <formats count="1">
    <format dxfId="23">
      <pivotArea outline="0" collapsedLevelsAreSubtotals="1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DB8AA-390F-41B1-B485-33EC7F697A48}" name="TablaDinámica7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7:B8" firstHeaderRow="1" firstDataRow="1" firstDataCol="0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Items count="1">
    <i/>
  </rowItems>
  <colItems count="1">
    <i/>
  </colItems>
  <dataFields count="1">
    <dataField name="Total Sub" fld="3" baseField="0" baseItem="0" numFmtId="3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C9AE4C-D14C-4B0D-9F6D-559E7A6830A0}" name="TablaDinámica12" cacheId="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4">
  <location ref="P5:Q18" firstHeaderRow="1" firstDataRow="1" firstDataCol="1" rowPageCount="1" colPageCount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1" hier="-1"/>
  </pageFields>
  <dataFields count="1">
    <dataField name="Total Sub" fld="3" baseField="2" baseItem="0"/>
  </dataFields>
  <formats count="1">
    <format dxfId="25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E44432-8C45-47D5-A928-6097DDEB71EA}" name="TablaDinámica11" cacheId="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hartFormat="4">
  <location ref="M5:N18" firstHeaderRow="1" firstDataRow="1" firstDataCol="1" rowPageCount="1" colPageCount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4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1" item="1" hier="-1"/>
  </pageFields>
  <dataFields count="1">
    <dataField name="Total Sub" fld="3" baseField="2" baseItem="0"/>
  </dataFields>
  <formats count="1">
    <format dxfId="26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4EC4E1-1524-4839-864F-59BEC4E5E2FD}" name="TablaDinámica16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1">
  <location ref="AB12:AC16" firstHeaderRow="1" firstDataRow="1" firstDataCol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multipleItemSelectionAllowed="1" showAll="0"/>
    <pivotField showAll="0"/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5"/>
  </rowFields>
  <rowItems count="4">
    <i>
      <x v="1"/>
    </i>
    <i>
      <x v="2"/>
    </i>
    <i>
      <x v="3"/>
    </i>
    <i>
      <x v="4"/>
    </i>
  </rowItems>
  <colItems count="1">
    <i/>
  </colItems>
  <dataFields count="1">
    <dataField name="Suma de number_of_subscriptions" fld="3" baseField="0" baseItem="0"/>
  </dataFields>
  <formats count="1">
    <format dxfId="15">
      <pivotArea outline="0" collapsedLevelsAreSubtotals="1" fieldPosition="0"/>
    </format>
  </formats>
  <chartFormats count="8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D231F6-146A-4558-8320-17B15FF95DC6}" name="TablaDinámica15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2">
  <location ref="AB5:AE9" firstHeaderRow="1" firstDataRow="2" firstDataCol="1"/>
  <pivotFields count="7">
    <pivotField numFmtId="14" showAll="0">
      <items count="1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axis="axisCol" multipleItemSelectionAllowed="1" showAll="0">
      <items count="4">
        <item x="0"/>
        <item x="1"/>
        <item x="2"/>
        <item t="default"/>
      </items>
    </pivotField>
    <pivotField axis="axisRow" showAll="0">
      <items count="7">
        <item m="1" x="4"/>
        <item m="1" x="5"/>
        <item m="1" x="3"/>
        <item x="0"/>
        <item x="1"/>
        <item x="2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2"/>
  </rowFields>
  <rowItems count="3">
    <i>
      <x v="3"/>
    </i>
    <i>
      <x v="4"/>
    </i>
    <i>
      <x v="5"/>
    </i>
  </rowItems>
  <colFields count="1">
    <field x="1"/>
  </colFields>
  <colItems count="3">
    <i>
      <x/>
    </i>
    <i>
      <x v="1"/>
    </i>
    <i>
      <x v="2"/>
    </i>
  </colItems>
  <dataFields count="1">
    <dataField name="Suma de number_of_subscriptions" fld="3" baseField="0" baseItem="0"/>
  </dataFields>
  <formats count="1">
    <format dxfId="16">
      <pivotArea outline="0" collapsedLevelsAreSubtotals="1" fieldPosition="0"/>
    </format>
  </formats>
  <chartFormats count="10"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9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9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1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1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1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1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6FDF426B-6B35-4488-A651-DC04ADDA8316}" autoFormatId="16" applyNumberFormats="0" applyBorderFormats="0" applyFontFormats="0" applyPatternFormats="0" applyAlignmentFormats="0" applyWidthHeightFormats="0">
  <queryTableRefresh nextId="5">
    <queryTableFields count="4">
      <queryTableField id="1" name="month" tableColumnId="1"/>
      <queryTableField id="2" name="network_access_technology" tableColumnId="2"/>
      <queryTableField id="3" name="type_of_plan" tableColumnId="3"/>
      <queryTableField id="4" name="number_of_subscriptions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month" xr10:uid="{E54C82E3-76B5-4C6C-A734-B035C9F3DA2B}" sourceName="Años (month)">
  <pivotTables>
    <pivotTable tabId="5" name="TablaDinámica14"/>
    <pivotTable tabId="5" name="TablaDinámica15"/>
    <pivotTable tabId="5" name="TablaDinámica16"/>
    <pivotTable tabId="5" name="TablaDinámica1"/>
    <pivotTable tabId="5" name="TablaDinámica2"/>
    <pivotTable tabId="5" name="TablaDinámica9"/>
    <pivotTable tabId="5" name="TablaDinámica10"/>
    <pivotTable tabId="5" name="TablaDinámica11"/>
    <pivotTable tabId="5" name="TablaDinámica12"/>
  </pivotTables>
  <data>
    <tabular pivotCacheId="1213507601">
      <items count="16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0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s (month)" xr10:uid="{C15CC587-FF7B-4046-B8B1-92A954F9F4AC}" cache="SegmentaciónDeDatos_Años__month" caption="Años (month)" showCaption="0" style="SlicerMobile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502E13-C702-46F3-B514-DBDCCF237233}" name="Tabla1_1" displayName="Tabla1_1" ref="A1:D665" tableType="queryTable" totalsRowShown="0">
  <autoFilter ref="A1:D665" xr:uid="{04502E13-C702-46F3-B514-DBDCCF237233}"/>
  <tableColumns count="4">
    <tableColumn id="1" xr3:uid="{7BA3304B-BF18-4126-8B3E-099AB1F49CD6}" uniqueName="1" name="month" queryTableFieldId="1" dataDxfId="9"/>
    <tableColumn id="2" xr3:uid="{861AA8C7-EA96-47F7-A2EA-B3454EDABD6B}" uniqueName="2" name="network_access_technology" queryTableFieldId="2" dataDxfId="19"/>
    <tableColumn id="3" xr3:uid="{0FE4D1E7-0360-45DF-B30F-AEF33247423F}" uniqueName="3" name="type_of_plan" queryTableFieldId="3" dataDxfId="18"/>
    <tableColumn id="4" xr3:uid="{5CE293E3-5EB2-4176-85F1-F671E4111157}" uniqueName="4" name="number_of_subscription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6209E0-57BA-4BFA-9E80-EF89D9386DA3}" name="Tabla1" displayName="Tabla1" ref="A1:D665" totalsRowShown="0">
  <autoFilter ref="A1:D665" xr:uid="{296209E0-57BA-4BFA-9E80-EF89D9386DA3}"/>
  <tableColumns count="4">
    <tableColumn id="1" xr3:uid="{40E48742-7F9B-4202-AAE8-AE986DDCECB8}" name="month" dataDxfId="17"/>
    <tableColumn id="2" xr3:uid="{1F085EAF-12FA-4227-A098-50E12D75B570}" name="network_access_technology"/>
    <tableColumn id="3" xr3:uid="{C4F4B573-A6F1-4E38-B128-025E14076BDE}" name="type_of_plan"/>
    <tableColumn id="4" xr3:uid="{BC254CAA-C8A0-448D-881E-9529BFAD44E9}" name="number_of_subscrip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429C3-947E-4BDD-96B3-8D7F09382DD2}">
  <dimension ref="A1"/>
  <sheetViews>
    <sheetView tabSelected="1" topLeftCell="B7" zoomScaleNormal="100" workbookViewId="0">
      <selection activeCell="C11" sqref="C11"/>
    </sheetView>
  </sheetViews>
  <sheetFormatPr baseColWidth="10" defaultRowHeight="15" x14ac:dyDescent="0.25"/>
  <cols>
    <col min="1" max="16384" width="11.42578125" style="3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FE560-D6FD-4B79-A765-C69009197E78}">
  <dimension ref="B3:AL37"/>
  <sheetViews>
    <sheetView topLeftCell="H1" workbookViewId="0">
      <selection activeCell="M9" sqref="M9"/>
    </sheetView>
  </sheetViews>
  <sheetFormatPr baseColWidth="10" defaultRowHeight="15" x14ac:dyDescent="0.25"/>
  <cols>
    <col min="2" max="2" width="12.7109375" bestFit="1" customWidth="1"/>
    <col min="4" max="4" width="17.5703125" bestFit="1" customWidth="1"/>
    <col min="5" max="5" width="11.140625" bestFit="1" customWidth="1"/>
    <col min="7" max="7" width="26.140625" bestFit="1" customWidth="1"/>
    <col min="8" max="8" width="12.7109375" bestFit="1" customWidth="1"/>
    <col min="10" max="10" width="26.140625" bestFit="1" customWidth="1"/>
    <col min="11" max="11" width="11.140625" bestFit="1" customWidth="1"/>
    <col min="13" max="13" width="26.140625" bestFit="1" customWidth="1"/>
    <col min="14" max="14" width="11.140625" bestFit="1" customWidth="1"/>
    <col min="16" max="16" width="26.140625" bestFit="1" customWidth="1"/>
    <col min="17" max="17" width="11.140625" bestFit="1" customWidth="1"/>
    <col min="20" max="20" width="26.140625" bestFit="1" customWidth="1"/>
    <col min="21" max="21" width="11.140625" bestFit="1" customWidth="1"/>
    <col min="24" max="25" width="11.85546875" bestFit="1" customWidth="1"/>
    <col min="28" max="28" width="17.5703125" bestFit="1" customWidth="1"/>
    <col min="29" max="29" width="32.140625" bestFit="1" customWidth="1"/>
    <col min="30" max="31" width="11.140625" bestFit="1" customWidth="1"/>
    <col min="33" max="33" width="17.5703125" bestFit="1" customWidth="1"/>
    <col min="34" max="34" width="33.5703125" bestFit="1" customWidth="1"/>
    <col min="37" max="37" width="17.5703125" bestFit="1" customWidth="1"/>
    <col min="38" max="38" width="33.5703125" bestFit="1" customWidth="1"/>
  </cols>
  <sheetData>
    <row r="3" spans="2:38" x14ac:dyDescent="0.25">
      <c r="G3" s="5" t="s">
        <v>1</v>
      </c>
      <c r="H3" t="s">
        <v>196</v>
      </c>
      <c r="J3" s="5" t="s">
        <v>1</v>
      </c>
      <c r="K3" t="s">
        <v>5</v>
      </c>
      <c r="M3" s="5" t="s">
        <v>1</v>
      </c>
      <c r="N3" t="s">
        <v>18</v>
      </c>
      <c r="P3" s="5" t="s">
        <v>1</v>
      </c>
      <c r="Q3" t="s">
        <v>114</v>
      </c>
      <c r="T3" s="5" t="s">
        <v>1</v>
      </c>
      <c r="U3" t="s">
        <v>114</v>
      </c>
    </row>
    <row r="5" spans="2:38" x14ac:dyDescent="0.25">
      <c r="G5" s="5" t="s">
        <v>171</v>
      </c>
      <c r="H5" t="s">
        <v>173</v>
      </c>
      <c r="J5" s="5" t="s">
        <v>171</v>
      </c>
      <c r="K5" t="s">
        <v>173</v>
      </c>
      <c r="M5" s="5" t="s">
        <v>171</v>
      </c>
      <c r="N5" t="s">
        <v>173</v>
      </c>
      <c r="P5" s="5" t="s">
        <v>171</v>
      </c>
      <c r="Q5" t="s">
        <v>173</v>
      </c>
      <c r="T5" s="5" t="s">
        <v>171</v>
      </c>
      <c r="U5" t="s">
        <v>173</v>
      </c>
      <c r="V5" t="s">
        <v>201</v>
      </c>
      <c r="W5" t="s">
        <v>202</v>
      </c>
      <c r="X5" s="8" t="s">
        <v>203</v>
      </c>
      <c r="Y5" t="s">
        <v>204</v>
      </c>
      <c r="AB5" s="5" t="s">
        <v>170</v>
      </c>
      <c r="AC5" s="5" t="s">
        <v>208</v>
      </c>
      <c r="AG5" s="5" t="s">
        <v>171</v>
      </c>
      <c r="AH5" t="s">
        <v>217</v>
      </c>
      <c r="AK5" s="5" t="s">
        <v>171</v>
      </c>
      <c r="AL5" t="s">
        <v>217</v>
      </c>
    </row>
    <row r="6" spans="2:38" x14ac:dyDescent="0.25">
      <c r="G6" s="6" t="s">
        <v>180</v>
      </c>
      <c r="H6" s="4">
        <v>88205900</v>
      </c>
      <c r="J6" s="6" t="s">
        <v>180</v>
      </c>
      <c r="K6" s="4">
        <v>30898900</v>
      </c>
      <c r="M6" s="6" t="s">
        <v>180</v>
      </c>
      <c r="N6" s="4">
        <v>42065400</v>
      </c>
      <c r="P6" s="6" t="s">
        <v>180</v>
      </c>
      <c r="Q6" s="4">
        <v>15241600</v>
      </c>
      <c r="T6" s="6" t="s">
        <v>175</v>
      </c>
      <c r="U6" s="4">
        <v>37749600</v>
      </c>
      <c r="V6" s="7">
        <f>U6/$U$11</f>
        <v>7.4891946143886903E-2</v>
      </c>
      <c r="AB6" s="5" t="s">
        <v>171</v>
      </c>
      <c r="AC6" t="s">
        <v>5</v>
      </c>
      <c r="AD6" t="s">
        <v>18</v>
      </c>
      <c r="AE6" t="s">
        <v>114</v>
      </c>
      <c r="AG6" s="6" t="s">
        <v>5</v>
      </c>
      <c r="AH6" s="4">
        <v>320</v>
      </c>
      <c r="AK6" s="6" t="s">
        <v>218</v>
      </c>
      <c r="AL6" s="4">
        <v>298</v>
      </c>
    </row>
    <row r="7" spans="2:38" x14ac:dyDescent="0.25">
      <c r="B7" t="s">
        <v>173</v>
      </c>
      <c r="D7" s="5" t="s">
        <v>171</v>
      </c>
      <c r="E7" t="s">
        <v>173</v>
      </c>
      <c r="G7" s="6" t="s">
        <v>181</v>
      </c>
      <c r="H7" s="4">
        <v>178018400</v>
      </c>
      <c r="J7" s="6" t="s">
        <v>181</v>
      </c>
      <c r="K7" s="4">
        <v>30600900</v>
      </c>
      <c r="M7" s="6" t="s">
        <v>181</v>
      </c>
      <c r="N7" s="4">
        <v>42220200</v>
      </c>
      <c r="P7" s="6" t="s">
        <v>181</v>
      </c>
      <c r="Q7" s="4">
        <v>105197300</v>
      </c>
      <c r="T7" s="6" t="s">
        <v>176</v>
      </c>
      <c r="U7" s="4">
        <v>70589600</v>
      </c>
      <c r="V7" s="7">
        <f t="shared" ref="V7:V11" si="0">U7/$U$11</f>
        <v>0.14004366990692668</v>
      </c>
      <c r="W7" s="7">
        <f>V7-V6</f>
        <v>6.5151723763039779E-2</v>
      </c>
      <c r="X7" s="7" t="str">
        <f>IF(U6&lt;U7,"+"&amp;TEXT(W7,"0.0%"),TEXT(W7,"0.0%"))</f>
        <v>+6.5%</v>
      </c>
      <c r="Y7" s="4">
        <f>U7-U6</f>
        <v>32840000</v>
      </c>
      <c r="AB7" s="6" t="s">
        <v>218</v>
      </c>
      <c r="AC7" s="4">
        <v>153776000</v>
      </c>
      <c r="AD7" s="4">
        <v>240294000</v>
      </c>
      <c r="AE7" s="4">
        <v>163540700</v>
      </c>
      <c r="AG7" s="6" t="s">
        <v>18</v>
      </c>
      <c r="AH7" s="4">
        <v>245</v>
      </c>
      <c r="AK7" s="6" t="s">
        <v>219</v>
      </c>
      <c r="AL7" s="4">
        <v>298</v>
      </c>
    </row>
    <row r="8" spans="2:38" x14ac:dyDescent="0.25">
      <c r="B8" s="4">
        <v>1387660200</v>
      </c>
      <c r="D8" s="6" t="s">
        <v>5</v>
      </c>
      <c r="E8" s="4">
        <v>367847600</v>
      </c>
      <c r="G8" s="6" t="s">
        <v>182</v>
      </c>
      <c r="H8" s="4">
        <v>168469400</v>
      </c>
      <c r="J8" s="6" t="s">
        <v>182</v>
      </c>
      <c r="K8" s="4">
        <v>29715500</v>
      </c>
      <c r="M8" s="6" t="s">
        <v>182</v>
      </c>
      <c r="N8" s="4">
        <v>42339700</v>
      </c>
      <c r="P8" s="6" t="s">
        <v>182</v>
      </c>
      <c r="Q8" s="4">
        <v>96414200</v>
      </c>
      <c r="T8" s="6" t="s">
        <v>177</v>
      </c>
      <c r="U8" s="4">
        <v>283145300</v>
      </c>
      <c r="V8" s="7">
        <f t="shared" si="0"/>
        <v>0.56173582126683996</v>
      </c>
      <c r="W8" s="7">
        <f t="shared" ref="W8:W10" si="1">V8-V7</f>
        <v>0.42169215135991328</v>
      </c>
      <c r="X8" s="7" t="str">
        <f t="shared" ref="X8:X10" si="2">IF(U7&lt;U8,"+"&amp;TEXT(W8,"0.0%"),TEXT(W8,"0.0%"))</f>
        <v>+42.2%</v>
      </c>
      <c r="Y8" s="4">
        <f t="shared" ref="Y8:Y11" si="3">U8-U7</f>
        <v>212555700</v>
      </c>
      <c r="AB8" s="6" t="s">
        <v>219</v>
      </c>
      <c r="AC8" s="4">
        <v>214071600</v>
      </c>
      <c r="AD8" s="4">
        <v>196885500</v>
      </c>
      <c r="AE8" s="4">
        <v>295953100</v>
      </c>
      <c r="AG8" s="6" t="s">
        <v>114</v>
      </c>
      <c r="AH8" s="4">
        <v>99</v>
      </c>
      <c r="AK8" s="6" t="s">
        <v>220</v>
      </c>
      <c r="AL8" s="4">
        <v>68</v>
      </c>
    </row>
    <row r="9" spans="2:38" x14ac:dyDescent="0.25">
      <c r="D9" s="6" t="s">
        <v>18</v>
      </c>
      <c r="E9" s="4">
        <v>515758400</v>
      </c>
      <c r="G9" s="6" t="s">
        <v>183</v>
      </c>
      <c r="H9" s="4">
        <v>105243600</v>
      </c>
      <c r="J9" s="6" t="s">
        <v>183</v>
      </c>
      <c r="K9" s="4">
        <v>29358900</v>
      </c>
      <c r="M9" s="6" t="s">
        <v>183</v>
      </c>
      <c r="N9" s="4">
        <v>42645400</v>
      </c>
      <c r="P9" s="6" t="s">
        <v>183</v>
      </c>
      <c r="Q9" s="4">
        <v>33239300</v>
      </c>
      <c r="T9" s="6" t="s">
        <v>178</v>
      </c>
      <c r="U9" s="4">
        <v>53527600</v>
      </c>
      <c r="V9" s="7">
        <f t="shared" si="0"/>
        <v>0.10619413547193933</v>
      </c>
      <c r="W9" s="7">
        <f t="shared" si="1"/>
        <v>-0.45554168579490062</v>
      </c>
      <c r="X9" s="7" t="str">
        <f t="shared" si="2"/>
        <v>-45.6%</v>
      </c>
      <c r="Y9" s="4">
        <f t="shared" si="3"/>
        <v>-229617700</v>
      </c>
      <c r="AB9" s="6" t="s">
        <v>220</v>
      </c>
      <c r="AC9" s="4"/>
      <c r="AD9" s="4">
        <v>78578900</v>
      </c>
      <c r="AE9" s="4">
        <v>44560400</v>
      </c>
    </row>
    <row r="10" spans="2:38" x14ac:dyDescent="0.25">
      <c r="D10" s="6" t="s">
        <v>114</v>
      </c>
      <c r="E10" s="4">
        <v>504054200</v>
      </c>
      <c r="G10" s="6" t="s">
        <v>184</v>
      </c>
      <c r="H10" s="4">
        <v>90331800</v>
      </c>
      <c r="J10" s="6" t="s">
        <v>184</v>
      </c>
      <c r="K10" s="4">
        <v>28968200</v>
      </c>
      <c r="M10" s="6" t="s">
        <v>184</v>
      </c>
      <c r="N10" s="4">
        <v>42835500</v>
      </c>
      <c r="P10" s="6" t="s">
        <v>184</v>
      </c>
      <c r="Q10" s="4">
        <v>18528100</v>
      </c>
      <c r="T10" s="6" t="s">
        <v>179</v>
      </c>
      <c r="U10" s="4">
        <v>59042100</v>
      </c>
      <c r="V10" s="7">
        <f t="shared" si="0"/>
        <v>0.11713442721040714</v>
      </c>
      <c r="W10" s="7">
        <f t="shared" si="1"/>
        <v>1.0940291738467806E-2</v>
      </c>
      <c r="X10" s="7" t="str">
        <f t="shared" si="2"/>
        <v>+1.1%</v>
      </c>
      <c r="Y10" s="4">
        <f t="shared" si="3"/>
        <v>5514500</v>
      </c>
    </row>
    <row r="11" spans="2:38" x14ac:dyDescent="0.25">
      <c r="G11" s="6" t="s">
        <v>185</v>
      </c>
      <c r="H11" s="4">
        <v>89764400</v>
      </c>
      <c r="J11" s="6" t="s">
        <v>185</v>
      </c>
      <c r="K11" s="4">
        <v>28602800</v>
      </c>
      <c r="M11" s="6" t="s">
        <v>185</v>
      </c>
      <c r="N11" s="4">
        <v>43147000</v>
      </c>
      <c r="P11" s="6" t="s">
        <v>185</v>
      </c>
      <c r="Q11" s="4">
        <v>18014600</v>
      </c>
      <c r="T11" s="6" t="s">
        <v>172</v>
      </c>
      <c r="U11" s="4">
        <v>504054200</v>
      </c>
      <c r="V11" s="7">
        <f t="shared" si="0"/>
        <v>1</v>
      </c>
      <c r="Y11" s="4">
        <f t="shared" si="3"/>
        <v>445012100</v>
      </c>
    </row>
    <row r="12" spans="2:38" x14ac:dyDescent="0.25">
      <c r="G12" s="6" t="s">
        <v>186</v>
      </c>
      <c r="H12" s="4">
        <v>131500800</v>
      </c>
      <c r="J12" s="6" t="s">
        <v>186</v>
      </c>
      <c r="K12" s="4">
        <v>32176800</v>
      </c>
      <c r="M12" s="6" t="s">
        <v>186</v>
      </c>
      <c r="N12" s="4">
        <v>43589200</v>
      </c>
      <c r="P12" s="6" t="s">
        <v>186</v>
      </c>
      <c r="Q12" s="4">
        <v>55734800</v>
      </c>
      <c r="AB12" s="5" t="s">
        <v>171</v>
      </c>
      <c r="AC12" t="s">
        <v>170</v>
      </c>
    </row>
    <row r="13" spans="2:38" x14ac:dyDescent="0.25">
      <c r="G13" s="6" t="s">
        <v>187</v>
      </c>
      <c r="H13" s="4">
        <v>101947900</v>
      </c>
      <c r="J13" s="6" t="s">
        <v>187</v>
      </c>
      <c r="K13" s="4">
        <v>31968100</v>
      </c>
      <c r="M13" s="6" t="s">
        <v>187</v>
      </c>
      <c r="N13" s="4">
        <v>43813600</v>
      </c>
      <c r="P13" s="6" t="s">
        <v>187</v>
      </c>
      <c r="Q13" s="4">
        <v>26166200</v>
      </c>
      <c r="AB13" s="6" t="s">
        <v>192</v>
      </c>
      <c r="AC13" s="4">
        <v>434693700</v>
      </c>
    </row>
    <row r="14" spans="2:38" x14ac:dyDescent="0.25">
      <c r="G14" s="6" t="s">
        <v>188</v>
      </c>
      <c r="H14" s="4">
        <v>94747800</v>
      </c>
      <c r="J14" s="6" t="s">
        <v>188</v>
      </c>
      <c r="K14" s="4">
        <v>31765200</v>
      </c>
      <c r="M14" s="6" t="s">
        <v>188</v>
      </c>
      <c r="N14" s="4">
        <v>44039500</v>
      </c>
      <c r="P14" s="6" t="s">
        <v>188</v>
      </c>
      <c r="Q14" s="4">
        <v>18943100</v>
      </c>
      <c r="AB14" s="6" t="s">
        <v>193</v>
      </c>
      <c r="AC14" s="4">
        <v>285339800</v>
      </c>
    </row>
    <row r="15" spans="2:38" x14ac:dyDescent="0.25">
      <c r="G15" s="6" t="s">
        <v>189</v>
      </c>
      <c r="H15" s="4">
        <v>95010900</v>
      </c>
      <c r="J15" s="6" t="s">
        <v>189</v>
      </c>
      <c r="K15" s="4">
        <v>31471100</v>
      </c>
      <c r="M15" s="6" t="s">
        <v>189</v>
      </c>
      <c r="N15" s="4">
        <v>44321000</v>
      </c>
      <c r="P15" s="6" t="s">
        <v>189</v>
      </c>
      <c r="Q15" s="4">
        <v>19218800</v>
      </c>
      <c r="AB15" s="6" t="s">
        <v>194</v>
      </c>
      <c r="AC15" s="4">
        <v>328196500</v>
      </c>
    </row>
    <row r="16" spans="2:38" x14ac:dyDescent="0.25">
      <c r="G16" s="6" t="s">
        <v>190</v>
      </c>
      <c r="H16" s="4">
        <v>156615700</v>
      </c>
      <c r="J16" s="6" t="s">
        <v>190</v>
      </c>
      <c r="K16" s="4">
        <v>31208400</v>
      </c>
      <c r="M16" s="6" t="s">
        <v>190</v>
      </c>
      <c r="N16" s="4">
        <v>42215000</v>
      </c>
      <c r="P16" s="6" t="s">
        <v>190</v>
      </c>
      <c r="Q16" s="4">
        <v>83192300</v>
      </c>
      <c r="AB16" s="6" t="s">
        <v>195</v>
      </c>
      <c r="AC16" s="4">
        <v>339430200</v>
      </c>
    </row>
    <row r="17" spans="7:21" x14ac:dyDescent="0.25">
      <c r="G17" s="6" t="s">
        <v>191</v>
      </c>
      <c r="H17" s="4">
        <v>87803600</v>
      </c>
      <c r="J17" s="6" t="s">
        <v>191</v>
      </c>
      <c r="K17" s="4">
        <v>31112800</v>
      </c>
      <c r="M17" s="6" t="s">
        <v>191</v>
      </c>
      <c r="N17" s="4">
        <v>42526900</v>
      </c>
      <c r="P17" s="6" t="s">
        <v>191</v>
      </c>
      <c r="Q17" s="4">
        <v>14163900</v>
      </c>
    </row>
    <row r="18" spans="7:21" x14ac:dyDescent="0.25">
      <c r="G18" s="6" t="s">
        <v>172</v>
      </c>
      <c r="H18" s="4">
        <v>1387660200</v>
      </c>
      <c r="J18" s="6" t="s">
        <v>172</v>
      </c>
      <c r="K18" s="4">
        <v>367847600</v>
      </c>
      <c r="M18" s="6" t="s">
        <v>172</v>
      </c>
      <c r="N18" s="4">
        <v>515758400</v>
      </c>
      <c r="P18" s="6" t="s">
        <v>172</v>
      </c>
      <c r="Q18" s="4">
        <v>504054200</v>
      </c>
    </row>
    <row r="23" spans="7:21" x14ac:dyDescent="0.25">
      <c r="H23" t="s">
        <v>197</v>
      </c>
      <c r="J23" s="4">
        <f>H18</f>
        <v>1387660200</v>
      </c>
      <c r="P23" s="5" t="s">
        <v>171</v>
      </c>
      <c r="Q23" t="str">
        <f>IF(U23&gt;1,"Incremento","Decremento")</f>
        <v>Incremento</v>
      </c>
      <c r="U23" s="4" t="str">
        <f>IFERROR(VLOOKUP($P$24,$T$6:$Y$10,6,FALSE),"")</f>
        <v/>
      </c>
    </row>
    <row r="24" spans="7:21" x14ac:dyDescent="0.25">
      <c r="H24" t="s">
        <v>198</v>
      </c>
      <c r="J24" s="4">
        <f>K18</f>
        <v>367847600</v>
      </c>
      <c r="K24" s="7">
        <f>J24/J23</f>
        <v>0.26508478084188047</v>
      </c>
      <c r="P24" s="6" t="s">
        <v>209</v>
      </c>
      <c r="Q24" t="str">
        <f>IFERROR(VLOOKUP($P$24,$T$6:$Y$10,5,FALSE),"")</f>
        <v/>
      </c>
    </row>
    <row r="25" spans="7:21" x14ac:dyDescent="0.25">
      <c r="H25" t="s">
        <v>199</v>
      </c>
      <c r="J25" s="4">
        <f>N18</f>
        <v>515758400</v>
      </c>
      <c r="K25" s="7">
        <f>J25/J23</f>
        <v>0.37167485238821435</v>
      </c>
      <c r="P25" s="6" t="s">
        <v>210</v>
      </c>
    </row>
    <row r="26" spans="7:21" x14ac:dyDescent="0.25">
      <c r="H26" t="s">
        <v>200</v>
      </c>
      <c r="J26" s="4">
        <f>Q18</f>
        <v>504054200</v>
      </c>
      <c r="K26" s="7">
        <f>J26/J23</f>
        <v>0.36324036676990518</v>
      </c>
      <c r="P26" s="6" t="s">
        <v>211</v>
      </c>
    </row>
    <row r="27" spans="7:21" x14ac:dyDescent="0.25">
      <c r="P27" s="6" t="s">
        <v>212</v>
      </c>
      <c r="T27" t="s">
        <v>205</v>
      </c>
      <c r="U27" t="str">
        <f>"4G fue presentado en el 2013 con solo "&amp;TEXT(U6,"0,00")&amp;" SUSCRIPTORES en el primer año"</f>
        <v>4G fue presentado en el 2013 con solo 37,749,600 SUSCRIPTORES en el primer año</v>
      </c>
    </row>
    <row r="28" spans="7:21" x14ac:dyDescent="0.25">
      <c r="P28" s="6" t="s">
        <v>213</v>
      </c>
    </row>
    <row r="29" spans="7:21" x14ac:dyDescent="0.25">
      <c r="J29" t="str">
        <f>H24</f>
        <v>G2</v>
      </c>
      <c r="K29" s="7">
        <f>K24</f>
        <v>0.26508478084188047</v>
      </c>
      <c r="P29" s="6" t="s">
        <v>214</v>
      </c>
      <c r="T29" t="s">
        <v>206</v>
      </c>
      <c r="U29" t="str">
        <f>" con "&amp;Q24&amp;" suscriptores en el "&amp;P24&amp;" que es un "&amp;Q23&amp;" de "&amp;TEXT(U23,"0,00")</f>
        <v xml:space="preserve"> con  suscriptores en el 2004 que es un Incremento de </v>
      </c>
    </row>
    <row r="30" spans="7:21" x14ac:dyDescent="0.25">
      <c r="J30" t="str">
        <f t="shared" ref="J30:J31" si="4">H25</f>
        <v>G3</v>
      </c>
      <c r="K30" s="7">
        <f t="shared" ref="K30:K31" si="5">K25</f>
        <v>0.37167485238821435</v>
      </c>
      <c r="P30" s="6" t="s">
        <v>174</v>
      </c>
    </row>
    <row r="31" spans="7:21" x14ac:dyDescent="0.25">
      <c r="J31" t="str">
        <f t="shared" si="4"/>
        <v>G4</v>
      </c>
      <c r="K31" s="7">
        <f t="shared" si="5"/>
        <v>0.36324036676990518</v>
      </c>
      <c r="P31" s="6" t="s">
        <v>215</v>
      </c>
      <c r="T31" t="s">
        <v>207</v>
      </c>
      <c r="U31" t="str">
        <f>IF(P24&gt;T6,U27&amp;" "&amp;U29,U27)</f>
        <v>4G fue presentado en el 2013 con solo 37,749,600 SUSCRIPTORES en el primer año</v>
      </c>
    </row>
    <row r="32" spans="7:21" x14ac:dyDescent="0.25">
      <c r="P32" s="6" t="s">
        <v>216</v>
      </c>
    </row>
    <row r="33" spans="16:16" x14ac:dyDescent="0.25">
      <c r="P33" s="6" t="s">
        <v>175</v>
      </c>
    </row>
    <row r="34" spans="16:16" x14ac:dyDescent="0.25">
      <c r="P34" s="6" t="s">
        <v>176</v>
      </c>
    </row>
    <row r="35" spans="16:16" x14ac:dyDescent="0.25">
      <c r="P35" s="6" t="s">
        <v>177</v>
      </c>
    </row>
    <row r="36" spans="16:16" x14ac:dyDescent="0.25">
      <c r="P36" s="6" t="s">
        <v>178</v>
      </c>
    </row>
    <row r="37" spans="16:16" x14ac:dyDescent="0.25">
      <c r="P37" s="6" t="s">
        <v>179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11BF-F928-4AE2-A402-36014532C602}">
  <dimension ref="A1:D665"/>
  <sheetViews>
    <sheetView topLeftCell="A635" workbookViewId="0">
      <selection activeCell="E645" sqref="E645"/>
    </sheetView>
  </sheetViews>
  <sheetFormatPr baseColWidth="10" defaultRowHeight="15" x14ac:dyDescent="0.25"/>
  <cols>
    <col min="1" max="1" width="9.7109375" bestFit="1" customWidth="1"/>
    <col min="2" max="2" width="28.42578125" bestFit="1" customWidth="1"/>
    <col min="3" max="3" width="16.42578125" bestFit="1" customWidth="1"/>
    <col min="4" max="4" width="26.140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2">
        <v>38169</v>
      </c>
      <c r="B2" t="s">
        <v>5</v>
      </c>
      <c r="C2" t="s">
        <v>6</v>
      </c>
      <c r="D2">
        <v>1137000</v>
      </c>
    </row>
    <row r="3" spans="1:4" x14ac:dyDescent="0.25">
      <c r="A3" s="2">
        <v>38169</v>
      </c>
      <c r="B3" t="s">
        <v>5</v>
      </c>
      <c r="C3" t="s">
        <v>7</v>
      </c>
      <c r="D3">
        <v>2553900</v>
      </c>
    </row>
    <row r="4" spans="1:4" x14ac:dyDescent="0.25">
      <c r="A4" s="2">
        <v>38200</v>
      </c>
      <c r="B4" t="s">
        <v>5</v>
      </c>
      <c r="C4" t="s">
        <v>6</v>
      </c>
      <c r="D4">
        <v>1151300</v>
      </c>
    </row>
    <row r="5" spans="1:4" x14ac:dyDescent="0.25">
      <c r="A5" s="2">
        <v>38200</v>
      </c>
      <c r="B5" t="s">
        <v>5</v>
      </c>
      <c r="C5" t="s">
        <v>7</v>
      </c>
      <c r="D5">
        <v>2565300</v>
      </c>
    </row>
    <row r="6" spans="1:4" x14ac:dyDescent="0.25">
      <c r="A6" s="2">
        <v>38231</v>
      </c>
      <c r="B6" t="s">
        <v>5</v>
      </c>
      <c r="C6" t="s">
        <v>6</v>
      </c>
      <c r="D6">
        <v>1170900</v>
      </c>
    </row>
    <row r="7" spans="1:4" x14ac:dyDescent="0.25">
      <c r="A7" s="2">
        <v>38231</v>
      </c>
      <c r="B7" t="s">
        <v>5</v>
      </c>
      <c r="C7" t="s">
        <v>7</v>
      </c>
      <c r="D7">
        <v>2570900</v>
      </c>
    </row>
    <row r="8" spans="1:4" x14ac:dyDescent="0.25">
      <c r="A8" s="2">
        <v>38261</v>
      </c>
      <c r="B8" t="s">
        <v>5</v>
      </c>
      <c r="C8" t="s">
        <v>6</v>
      </c>
      <c r="D8">
        <v>1182100</v>
      </c>
    </row>
    <row r="9" spans="1:4" x14ac:dyDescent="0.25">
      <c r="A9" s="2">
        <v>38261</v>
      </c>
      <c r="B9" t="s">
        <v>5</v>
      </c>
      <c r="C9" t="s">
        <v>7</v>
      </c>
      <c r="D9">
        <v>2575200</v>
      </c>
    </row>
    <row r="10" spans="1:4" x14ac:dyDescent="0.25">
      <c r="A10" s="2">
        <v>38292</v>
      </c>
      <c r="B10" t="s">
        <v>5</v>
      </c>
      <c r="C10" t="s">
        <v>6</v>
      </c>
      <c r="D10">
        <v>1213700</v>
      </c>
    </row>
    <row r="11" spans="1:4" x14ac:dyDescent="0.25">
      <c r="A11" s="2">
        <v>38292</v>
      </c>
      <c r="B11" t="s">
        <v>5</v>
      </c>
      <c r="C11" t="s">
        <v>7</v>
      </c>
      <c r="D11">
        <v>2585100</v>
      </c>
    </row>
    <row r="12" spans="1:4" x14ac:dyDescent="0.25">
      <c r="A12" s="2">
        <v>38322</v>
      </c>
      <c r="B12" t="s">
        <v>5</v>
      </c>
      <c r="C12" t="s">
        <v>6</v>
      </c>
      <c r="D12">
        <v>1246900</v>
      </c>
    </row>
    <row r="13" spans="1:4" x14ac:dyDescent="0.25">
      <c r="A13" s="2">
        <v>38322</v>
      </c>
      <c r="B13" t="s">
        <v>5</v>
      </c>
      <c r="C13" t="s">
        <v>7</v>
      </c>
      <c r="D13">
        <v>2613800</v>
      </c>
    </row>
    <row r="14" spans="1:4" x14ac:dyDescent="0.25">
      <c r="A14" s="2">
        <v>38353</v>
      </c>
      <c r="B14" t="s">
        <v>5</v>
      </c>
      <c r="C14" t="s">
        <v>6</v>
      </c>
      <c r="D14">
        <v>1271100</v>
      </c>
    </row>
    <row r="15" spans="1:4" x14ac:dyDescent="0.25">
      <c r="A15" s="2">
        <v>38353</v>
      </c>
      <c r="B15" t="s">
        <v>5</v>
      </c>
      <c r="C15" t="s">
        <v>7</v>
      </c>
      <c r="D15">
        <v>2628600</v>
      </c>
    </row>
    <row r="16" spans="1:4" x14ac:dyDescent="0.25">
      <c r="A16" s="2">
        <v>38384</v>
      </c>
      <c r="B16" t="s">
        <v>5</v>
      </c>
      <c r="C16" t="s">
        <v>6</v>
      </c>
      <c r="D16">
        <v>1296500</v>
      </c>
    </row>
    <row r="17" spans="1:4" x14ac:dyDescent="0.25">
      <c r="A17" s="2">
        <v>38384</v>
      </c>
      <c r="B17" t="s">
        <v>5</v>
      </c>
      <c r="C17" t="s">
        <v>7</v>
      </c>
      <c r="D17">
        <v>2638900</v>
      </c>
    </row>
    <row r="18" spans="1:4" x14ac:dyDescent="0.25">
      <c r="A18" s="2">
        <v>38412</v>
      </c>
      <c r="B18" t="s">
        <v>5</v>
      </c>
      <c r="C18" t="s">
        <v>6</v>
      </c>
      <c r="D18">
        <v>1341900</v>
      </c>
    </row>
    <row r="19" spans="1:4" x14ac:dyDescent="0.25">
      <c r="A19" s="2">
        <v>38412</v>
      </c>
      <c r="B19" t="s">
        <v>5</v>
      </c>
      <c r="C19" t="s">
        <v>7</v>
      </c>
      <c r="D19">
        <v>2648800</v>
      </c>
    </row>
    <row r="20" spans="1:4" x14ac:dyDescent="0.25">
      <c r="A20" s="2">
        <v>38443</v>
      </c>
      <c r="B20" t="s">
        <v>5</v>
      </c>
      <c r="C20" t="s">
        <v>6</v>
      </c>
      <c r="D20">
        <v>1362400</v>
      </c>
    </row>
    <row r="21" spans="1:4" x14ac:dyDescent="0.25">
      <c r="A21" s="2">
        <v>38443</v>
      </c>
      <c r="B21" t="s">
        <v>5</v>
      </c>
      <c r="C21" t="s">
        <v>7</v>
      </c>
      <c r="D21">
        <v>2648500</v>
      </c>
    </row>
    <row r="22" spans="1:4" x14ac:dyDescent="0.25">
      <c r="A22" s="2">
        <v>38473</v>
      </c>
      <c r="B22" t="s">
        <v>5</v>
      </c>
      <c r="C22" t="s">
        <v>6</v>
      </c>
      <c r="D22">
        <v>1383000</v>
      </c>
    </row>
    <row r="23" spans="1:4" x14ac:dyDescent="0.25">
      <c r="A23" s="2">
        <v>38473</v>
      </c>
      <c r="B23" t="s">
        <v>5</v>
      </c>
      <c r="C23" t="s">
        <v>7</v>
      </c>
      <c r="D23">
        <v>2644900</v>
      </c>
    </row>
    <row r="24" spans="1:4" x14ac:dyDescent="0.25">
      <c r="A24" s="2">
        <v>38473</v>
      </c>
      <c r="B24" t="s">
        <v>18</v>
      </c>
      <c r="C24" t="s">
        <v>19</v>
      </c>
      <c r="D24">
        <v>21600</v>
      </c>
    </row>
    <row r="25" spans="1:4" x14ac:dyDescent="0.25">
      <c r="A25" s="2">
        <v>38504</v>
      </c>
      <c r="B25" t="s">
        <v>5</v>
      </c>
      <c r="C25" t="s">
        <v>6</v>
      </c>
      <c r="D25">
        <v>1405300</v>
      </c>
    </row>
    <row r="26" spans="1:4" x14ac:dyDescent="0.25">
      <c r="A26" s="2">
        <v>38504</v>
      </c>
      <c r="B26" t="s">
        <v>5</v>
      </c>
      <c r="C26" t="s">
        <v>7</v>
      </c>
      <c r="D26">
        <v>2644400</v>
      </c>
    </row>
    <row r="27" spans="1:4" x14ac:dyDescent="0.25">
      <c r="A27" s="2">
        <v>38504</v>
      </c>
      <c r="B27" t="s">
        <v>18</v>
      </c>
      <c r="C27" t="s">
        <v>19</v>
      </c>
      <c r="D27">
        <v>28700</v>
      </c>
    </row>
    <row r="28" spans="1:4" x14ac:dyDescent="0.25">
      <c r="A28" s="2">
        <v>38534</v>
      </c>
      <c r="B28" t="s">
        <v>5</v>
      </c>
      <c r="C28" t="s">
        <v>6</v>
      </c>
      <c r="D28">
        <v>1453200</v>
      </c>
    </row>
    <row r="29" spans="1:4" x14ac:dyDescent="0.25">
      <c r="A29" s="2">
        <v>38534</v>
      </c>
      <c r="B29" t="s">
        <v>5</v>
      </c>
      <c r="C29" t="s">
        <v>7</v>
      </c>
      <c r="D29">
        <v>2645000</v>
      </c>
    </row>
    <row r="30" spans="1:4" x14ac:dyDescent="0.25">
      <c r="A30" s="2">
        <v>38534</v>
      </c>
      <c r="B30" t="s">
        <v>18</v>
      </c>
      <c r="C30" t="s">
        <v>19</v>
      </c>
      <c r="D30">
        <v>37500</v>
      </c>
    </row>
    <row r="31" spans="1:4" x14ac:dyDescent="0.25">
      <c r="A31" s="2">
        <v>38565</v>
      </c>
      <c r="B31" t="s">
        <v>5</v>
      </c>
      <c r="C31" t="s">
        <v>6</v>
      </c>
      <c r="D31">
        <v>1467300</v>
      </c>
    </row>
    <row r="32" spans="1:4" x14ac:dyDescent="0.25">
      <c r="A32" s="2">
        <v>38565</v>
      </c>
      <c r="B32" t="s">
        <v>5</v>
      </c>
      <c r="C32" t="s">
        <v>7</v>
      </c>
      <c r="D32">
        <v>2646300</v>
      </c>
    </row>
    <row r="33" spans="1:4" x14ac:dyDescent="0.25">
      <c r="A33" s="2">
        <v>38565</v>
      </c>
      <c r="B33" t="s">
        <v>18</v>
      </c>
      <c r="C33" t="s">
        <v>19</v>
      </c>
      <c r="D33">
        <v>47700</v>
      </c>
    </row>
    <row r="34" spans="1:4" x14ac:dyDescent="0.25">
      <c r="A34" s="2">
        <v>38596</v>
      </c>
      <c r="B34" t="s">
        <v>5</v>
      </c>
      <c r="C34" t="s">
        <v>6</v>
      </c>
      <c r="D34">
        <v>1483600</v>
      </c>
    </row>
    <row r="35" spans="1:4" x14ac:dyDescent="0.25">
      <c r="A35" s="2">
        <v>38596</v>
      </c>
      <c r="B35" t="s">
        <v>5</v>
      </c>
      <c r="C35" t="s">
        <v>7</v>
      </c>
      <c r="D35">
        <v>2635300</v>
      </c>
    </row>
    <row r="36" spans="1:4" x14ac:dyDescent="0.25">
      <c r="A36" s="2">
        <v>38596</v>
      </c>
      <c r="B36" t="s">
        <v>18</v>
      </c>
      <c r="C36" t="s">
        <v>19</v>
      </c>
      <c r="D36">
        <v>66200</v>
      </c>
    </row>
    <row r="37" spans="1:4" x14ac:dyDescent="0.25">
      <c r="A37" s="2">
        <v>38626</v>
      </c>
      <c r="B37" t="s">
        <v>5</v>
      </c>
      <c r="C37" t="s">
        <v>6</v>
      </c>
      <c r="D37">
        <v>1482500</v>
      </c>
    </row>
    <row r="38" spans="1:4" x14ac:dyDescent="0.25">
      <c r="A38" s="2">
        <v>38626</v>
      </c>
      <c r="B38" t="s">
        <v>5</v>
      </c>
      <c r="C38" t="s">
        <v>7</v>
      </c>
      <c r="D38">
        <v>2613700</v>
      </c>
    </row>
    <row r="39" spans="1:4" x14ac:dyDescent="0.25">
      <c r="A39" s="2">
        <v>38626</v>
      </c>
      <c r="B39" t="s">
        <v>18</v>
      </c>
      <c r="C39" t="s">
        <v>19</v>
      </c>
      <c r="D39">
        <v>96900</v>
      </c>
    </row>
    <row r="40" spans="1:4" x14ac:dyDescent="0.25">
      <c r="A40" s="2">
        <v>38657</v>
      </c>
      <c r="B40" t="s">
        <v>5</v>
      </c>
      <c r="C40" t="s">
        <v>6</v>
      </c>
      <c r="D40">
        <v>1469100</v>
      </c>
    </row>
    <row r="41" spans="1:4" x14ac:dyDescent="0.25">
      <c r="A41" s="2">
        <v>38657</v>
      </c>
      <c r="B41" t="s">
        <v>5</v>
      </c>
      <c r="C41" t="s">
        <v>7</v>
      </c>
      <c r="D41">
        <v>2586700</v>
      </c>
    </row>
    <row r="42" spans="1:4" x14ac:dyDescent="0.25">
      <c r="A42" s="2">
        <v>38657</v>
      </c>
      <c r="B42" t="s">
        <v>18</v>
      </c>
      <c r="C42" t="s">
        <v>19</v>
      </c>
      <c r="D42">
        <v>129300</v>
      </c>
    </row>
    <row r="43" spans="1:4" x14ac:dyDescent="0.25">
      <c r="A43" s="2">
        <v>38687</v>
      </c>
      <c r="B43" t="s">
        <v>5</v>
      </c>
      <c r="C43" t="s">
        <v>6</v>
      </c>
      <c r="D43">
        <v>1516900</v>
      </c>
    </row>
    <row r="44" spans="1:4" x14ac:dyDescent="0.25">
      <c r="A44" s="2">
        <v>38687</v>
      </c>
      <c r="B44" t="s">
        <v>5</v>
      </c>
      <c r="C44" t="s">
        <v>7</v>
      </c>
      <c r="D44">
        <v>2565100</v>
      </c>
    </row>
    <row r="45" spans="1:4" x14ac:dyDescent="0.25">
      <c r="A45" s="2">
        <v>38687</v>
      </c>
      <c r="B45" t="s">
        <v>18</v>
      </c>
      <c r="C45" t="s">
        <v>19</v>
      </c>
      <c r="D45">
        <v>174800</v>
      </c>
    </row>
    <row r="46" spans="1:4" x14ac:dyDescent="0.25">
      <c r="A46" s="2">
        <v>38718</v>
      </c>
      <c r="B46" t="s">
        <v>5</v>
      </c>
      <c r="C46" t="s">
        <v>6</v>
      </c>
      <c r="D46">
        <v>1557000</v>
      </c>
    </row>
    <row r="47" spans="1:4" x14ac:dyDescent="0.25">
      <c r="A47" s="2">
        <v>38718</v>
      </c>
      <c r="B47" t="s">
        <v>5</v>
      </c>
      <c r="C47" t="s">
        <v>7</v>
      </c>
      <c r="D47">
        <v>2533200</v>
      </c>
    </row>
    <row r="48" spans="1:4" x14ac:dyDescent="0.25">
      <c r="A48" s="2">
        <v>38718</v>
      </c>
      <c r="B48" t="s">
        <v>18</v>
      </c>
      <c r="C48" t="s">
        <v>19</v>
      </c>
      <c r="D48">
        <v>220500</v>
      </c>
    </row>
    <row r="49" spans="1:4" x14ac:dyDescent="0.25">
      <c r="A49" s="2">
        <v>38749</v>
      </c>
      <c r="B49" t="s">
        <v>5</v>
      </c>
      <c r="C49" t="s">
        <v>6</v>
      </c>
      <c r="D49">
        <v>1573300</v>
      </c>
    </row>
    <row r="50" spans="1:4" x14ac:dyDescent="0.25">
      <c r="A50" s="2">
        <v>38749</v>
      </c>
      <c r="B50" t="s">
        <v>5</v>
      </c>
      <c r="C50" t="s">
        <v>7</v>
      </c>
      <c r="D50">
        <v>2495600</v>
      </c>
    </row>
    <row r="51" spans="1:4" x14ac:dyDescent="0.25">
      <c r="A51" s="2">
        <v>38749</v>
      </c>
      <c r="B51" t="s">
        <v>18</v>
      </c>
      <c r="C51" t="s">
        <v>19</v>
      </c>
      <c r="D51">
        <v>271700</v>
      </c>
    </row>
    <row r="52" spans="1:4" x14ac:dyDescent="0.25">
      <c r="A52" s="2">
        <v>38777</v>
      </c>
      <c r="B52" t="s">
        <v>5</v>
      </c>
      <c r="C52" t="s">
        <v>6</v>
      </c>
      <c r="D52">
        <v>1609700</v>
      </c>
    </row>
    <row r="53" spans="1:4" x14ac:dyDescent="0.25">
      <c r="A53" s="2">
        <v>38777</v>
      </c>
      <c r="B53" t="s">
        <v>5</v>
      </c>
      <c r="C53" t="s">
        <v>7</v>
      </c>
      <c r="D53">
        <v>2457400</v>
      </c>
    </row>
    <row r="54" spans="1:4" x14ac:dyDescent="0.25">
      <c r="A54" s="2">
        <v>38777</v>
      </c>
      <c r="B54" t="s">
        <v>18</v>
      </c>
      <c r="C54" t="s">
        <v>19</v>
      </c>
      <c r="D54">
        <v>317600</v>
      </c>
    </row>
    <row r="55" spans="1:4" x14ac:dyDescent="0.25">
      <c r="A55" s="2">
        <v>38808</v>
      </c>
      <c r="B55" t="s">
        <v>5</v>
      </c>
      <c r="C55" t="s">
        <v>6</v>
      </c>
      <c r="D55">
        <v>1629700</v>
      </c>
    </row>
    <row r="56" spans="1:4" x14ac:dyDescent="0.25">
      <c r="A56" s="2">
        <v>38808</v>
      </c>
      <c r="B56" t="s">
        <v>5</v>
      </c>
      <c r="C56" t="s">
        <v>7</v>
      </c>
      <c r="D56">
        <v>2417500</v>
      </c>
    </row>
    <row r="57" spans="1:4" x14ac:dyDescent="0.25">
      <c r="A57" s="2">
        <v>38808</v>
      </c>
      <c r="B57" t="s">
        <v>18</v>
      </c>
      <c r="C57" t="s">
        <v>19</v>
      </c>
      <c r="D57">
        <v>367600</v>
      </c>
    </row>
    <row r="58" spans="1:4" x14ac:dyDescent="0.25">
      <c r="A58" s="2">
        <v>38838</v>
      </c>
      <c r="B58" t="s">
        <v>5</v>
      </c>
      <c r="C58" t="s">
        <v>6</v>
      </c>
      <c r="D58">
        <v>1521800</v>
      </c>
    </row>
    <row r="59" spans="1:4" x14ac:dyDescent="0.25">
      <c r="A59" s="2">
        <v>38838</v>
      </c>
      <c r="B59" t="s">
        <v>5</v>
      </c>
      <c r="C59" t="s">
        <v>7</v>
      </c>
      <c r="D59">
        <v>2370800</v>
      </c>
    </row>
    <row r="60" spans="1:4" x14ac:dyDescent="0.25">
      <c r="A60" s="2">
        <v>38838</v>
      </c>
      <c r="B60" t="s">
        <v>18</v>
      </c>
      <c r="C60" t="s">
        <v>19</v>
      </c>
      <c r="D60">
        <v>429600</v>
      </c>
    </row>
    <row r="61" spans="1:4" x14ac:dyDescent="0.25">
      <c r="A61" s="2">
        <v>38869</v>
      </c>
      <c r="B61" t="s">
        <v>5</v>
      </c>
      <c r="C61" t="s">
        <v>6</v>
      </c>
      <c r="D61">
        <v>1432500</v>
      </c>
    </row>
    <row r="62" spans="1:4" x14ac:dyDescent="0.25">
      <c r="A62" s="2">
        <v>38869</v>
      </c>
      <c r="B62" t="s">
        <v>5</v>
      </c>
      <c r="C62" t="s">
        <v>7</v>
      </c>
      <c r="D62">
        <v>2299600</v>
      </c>
    </row>
    <row r="63" spans="1:4" x14ac:dyDescent="0.25">
      <c r="A63" s="2">
        <v>38869</v>
      </c>
      <c r="B63" t="s">
        <v>18</v>
      </c>
      <c r="C63" t="s">
        <v>19</v>
      </c>
      <c r="D63">
        <v>486100</v>
      </c>
    </row>
    <row r="64" spans="1:4" x14ac:dyDescent="0.25">
      <c r="A64" s="2">
        <v>38899</v>
      </c>
      <c r="B64" t="s">
        <v>5</v>
      </c>
      <c r="C64" t="s">
        <v>6</v>
      </c>
      <c r="D64">
        <v>1493300</v>
      </c>
    </row>
    <row r="65" spans="1:4" x14ac:dyDescent="0.25">
      <c r="A65" s="2">
        <v>38899</v>
      </c>
      <c r="B65" t="s">
        <v>5</v>
      </c>
      <c r="C65" t="s">
        <v>7</v>
      </c>
      <c r="D65">
        <v>2253900</v>
      </c>
    </row>
    <row r="66" spans="1:4" x14ac:dyDescent="0.25">
      <c r="A66" s="2">
        <v>38899</v>
      </c>
      <c r="B66" t="s">
        <v>18</v>
      </c>
      <c r="C66" t="s">
        <v>19</v>
      </c>
      <c r="D66">
        <v>534600</v>
      </c>
    </row>
    <row r="67" spans="1:4" x14ac:dyDescent="0.25">
      <c r="A67" s="2">
        <v>38930</v>
      </c>
      <c r="B67" t="s">
        <v>5</v>
      </c>
      <c r="C67" t="s">
        <v>6</v>
      </c>
      <c r="D67">
        <v>1560500</v>
      </c>
    </row>
    <row r="68" spans="1:4" x14ac:dyDescent="0.25">
      <c r="A68" s="2">
        <v>38930</v>
      </c>
      <c r="B68" t="s">
        <v>5</v>
      </c>
      <c r="C68" t="s">
        <v>7</v>
      </c>
      <c r="D68">
        <v>2204400</v>
      </c>
    </row>
    <row r="69" spans="1:4" x14ac:dyDescent="0.25">
      <c r="A69" s="2">
        <v>38930</v>
      </c>
      <c r="B69" t="s">
        <v>18</v>
      </c>
      <c r="C69" t="s">
        <v>19</v>
      </c>
      <c r="D69">
        <v>589800</v>
      </c>
    </row>
    <row r="70" spans="1:4" x14ac:dyDescent="0.25">
      <c r="A70" s="2">
        <v>38961</v>
      </c>
      <c r="B70" t="s">
        <v>5</v>
      </c>
      <c r="C70" t="s">
        <v>6</v>
      </c>
      <c r="D70">
        <v>1611800</v>
      </c>
    </row>
    <row r="71" spans="1:4" x14ac:dyDescent="0.25">
      <c r="A71" s="2">
        <v>38961</v>
      </c>
      <c r="B71" t="s">
        <v>5</v>
      </c>
      <c r="C71" t="s">
        <v>7</v>
      </c>
      <c r="D71">
        <v>2158900</v>
      </c>
    </row>
    <row r="72" spans="1:4" x14ac:dyDescent="0.25">
      <c r="A72" s="2">
        <v>38961</v>
      </c>
      <c r="B72" t="s">
        <v>18</v>
      </c>
      <c r="C72" t="s">
        <v>19</v>
      </c>
      <c r="D72">
        <v>645300</v>
      </c>
    </row>
    <row r="73" spans="1:4" x14ac:dyDescent="0.25">
      <c r="A73" s="2">
        <v>38991</v>
      </c>
      <c r="B73" t="s">
        <v>5</v>
      </c>
      <c r="C73" t="s">
        <v>6</v>
      </c>
      <c r="D73">
        <v>1666200</v>
      </c>
    </row>
    <row r="74" spans="1:4" x14ac:dyDescent="0.25">
      <c r="A74" s="2">
        <v>38991</v>
      </c>
      <c r="B74" t="s">
        <v>5</v>
      </c>
      <c r="C74" t="s">
        <v>7</v>
      </c>
      <c r="D74">
        <v>2105900</v>
      </c>
    </row>
    <row r="75" spans="1:4" x14ac:dyDescent="0.25">
      <c r="A75" s="2">
        <v>38991</v>
      </c>
      <c r="B75" t="s">
        <v>18</v>
      </c>
      <c r="C75" t="s">
        <v>19</v>
      </c>
      <c r="D75">
        <v>699200</v>
      </c>
    </row>
    <row r="76" spans="1:4" x14ac:dyDescent="0.25">
      <c r="A76" s="2">
        <v>39022</v>
      </c>
      <c r="B76" t="s">
        <v>5</v>
      </c>
      <c r="C76" t="s">
        <v>6</v>
      </c>
      <c r="D76">
        <v>1730800</v>
      </c>
    </row>
    <row r="77" spans="1:4" x14ac:dyDescent="0.25">
      <c r="A77" s="2">
        <v>39022</v>
      </c>
      <c r="B77" t="s">
        <v>5</v>
      </c>
      <c r="C77" t="s">
        <v>7</v>
      </c>
      <c r="D77">
        <v>2050800</v>
      </c>
    </row>
    <row r="78" spans="1:4" x14ac:dyDescent="0.25">
      <c r="A78" s="2">
        <v>39022</v>
      </c>
      <c r="B78" t="s">
        <v>18</v>
      </c>
      <c r="C78" t="s">
        <v>19</v>
      </c>
      <c r="D78">
        <v>766700</v>
      </c>
    </row>
    <row r="79" spans="1:4" x14ac:dyDescent="0.25">
      <c r="A79" s="2">
        <v>39052</v>
      </c>
      <c r="B79" t="s">
        <v>5</v>
      </c>
      <c r="C79" t="s">
        <v>6</v>
      </c>
      <c r="D79">
        <v>1793700</v>
      </c>
    </row>
    <row r="80" spans="1:4" x14ac:dyDescent="0.25">
      <c r="A80" s="2">
        <v>39052</v>
      </c>
      <c r="B80" t="s">
        <v>5</v>
      </c>
      <c r="C80" t="s">
        <v>7</v>
      </c>
      <c r="D80">
        <v>1960100</v>
      </c>
    </row>
    <row r="81" spans="1:4" x14ac:dyDescent="0.25">
      <c r="A81" s="2">
        <v>39052</v>
      </c>
      <c r="B81" t="s">
        <v>18</v>
      </c>
      <c r="C81" t="s">
        <v>19</v>
      </c>
      <c r="D81">
        <v>884000</v>
      </c>
    </row>
    <row r="82" spans="1:4" x14ac:dyDescent="0.25">
      <c r="A82" s="2">
        <v>39083</v>
      </c>
      <c r="B82" t="s">
        <v>5</v>
      </c>
      <c r="C82" t="s">
        <v>6</v>
      </c>
      <c r="D82">
        <v>1836900</v>
      </c>
    </row>
    <row r="83" spans="1:4" x14ac:dyDescent="0.25">
      <c r="A83" s="2">
        <v>39083</v>
      </c>
      <c r="B83" t="s">
        <v>5</v>
      </c>
      <c r="C83" t="s">
        <v>7</v>
      </c>
      <c r="D83">
        <v>1899000</v>
      </c>
    </row>
    <row r="84" spans="1:4" x14ac:dyDescent="0.25">
      <c r="A84" s="2">
        <v>39083</v>
      </c>
      <c r="B84" t="s">
        <v>18</v>
      </c>
      <c r="C84" t="s">
        <v>19</v>
      </c>
      <c r="D84">
        <v>953400</v>
      </c>
    </row>
    <row r="85" spans="1:4" x14ac:dyDescent="0.25">
      <c r="A85" s="2">
        <v>39114</v>
      </c>
      <c r="B85" t="s">
        <v>5</v>
      </c>
      <c r="C85" t="s">
        <v>6</v>
      </c>
      <c r="D85">
        <v>1863200</v>
      </c>
    </row>
    <row r="86" spans="1:4" x14ac:dyDescent="0.25">
      <c r="A86" s="2">
        <v>39114</v>
      </c>
      <c r="B86" t="s">
        <v>5</v>
      </c>
      <c r="C86" t="s">
        <v>7</v>
      </c>
      <c r="D86">
        <v>1852000</v>
      </c>
    </row>
    <row r="87" spans="1:4" x14ac:dyDescent="0.25">
      <c r="A87" s="2">
        <v>39114</v>
      </c>
      <c r="B87" t="s">
        <v>18</v>
      </c>
      <c r="C87" t="s">
        <v>19</v>
      </c>
      <c r="D87">
        <v>1014500</v>
      </c>
    </row>
    <row r="88" spans="1:4" x14ac:dyDescent="0.25">
      <c r="A88" s="2">
        <v>39142</v>
      </c>
      <c r="B88" t="s">
        <v>5</v>
      </c>
      <c r="C88" t="s">
        <v>6</v>
      </c>
      <c r="D88">
        <v>1911400</v>
      </c>
    </row>
    <row r="89" spans="1:4" x14ac:dyDescent="0.25">
      <c r="A89" s="2">
        <v>39142</v>
      </c>
      <c r="B89" t="s">
        <v>5</v>
      </c>
      <c r="C89" t="s">
        <v>7</v>
      </c>
      <c r="D89">
        <v>1795700</v>
      </c>
    </row>
    <row r="90" spans="1:4" x14ac:dyDescent="0.25">
      <c r="A90" s="2">
        <v>39142</v>
      </c>
      <c r="B90" t="s">
        <v>18</v>
      </c>
      <c r="C90" t="s">
        <v>19</v>
      </c>
      <c r="D90">
        <v>1081400</v>
      </c>
    </row>
    <row r="91" spans="1:4" x14ac:dyDescent="0.25">
      <c r="A91" s="2">
        <v>39173</v>
      </c>
      <c r="B91" t="s">
        <v>5</v>
      </c>
      <c r="C91" t="s">
        <v>6</v>
      </c>
      <c r="D91">
        <v>1961500</v>
      </c>
    </row>
    <row r="92" spans="1:4" x14ac:dyDescent="0.25">
      <c r="A92" s="2">
        <v>39173</v>
      </c>
      <c r="B92" t="s">
        <v>5</v>
      </c>
      <c r="C92" t="s">
        <v>7</v>
      </c>
      <c r="D92">
        <v>1745600</v>
      </c>
    </row>
    <row r="93" spans="1:4" x14ac:dyDescent="0.25">
      <c r="A93" s="2">
        <v>39173</v>
      </c>
      <c r="B93" t="s">
        <v>18</v>
      </c>
      <c r="C93" t="s">
        <v>19</v>
      </c>
      <c r="D93">
        <v>1141000</v>
      </c>
    </row>
    <row r="94" spans="1:4" x14ac:dyDescent="0.25">
      <c r="A94" s="2">
        <v>39203</v>
      </c>
      <c r="B94" t="s">
        <v>5</v>
      </c>
      <c r="C94" t="s">
        <v>6</v>
      </c>
      <c r="D94">
        <v>2016000</v>
      </c>
    </row>
    <row r="95" spans="1:4" x14ac:dyDescent="0.25">
      <c r="A95" s="2">
        <v>39203</v>
      </c>
      <c r="B95" t="s">
        <v>5</v>
      </c>
      <c r="C95" t="s">
        <v>7</v>
      </c>
      <c r="D95">
        <v>1699400</v>
      </c>
    </row>
    <row r="96" spans="1:4" x14ac:dyDescent="0.25">
      <c r="A96" s="2">
        <v>39203</v>
      </c>
      <c r="B96" t="s">
        <v>18</v>
      </c>
      <c r="C96" t="s">
        <v>19</v>
      </c>
      <c r="D96">
        <v>1196100</v>
      </c>
    </row>
    <row r="97" spans="1:4" x14ac:dyDescent="0.25">
      <c r="A97" s="2">
        <v>39234</v>
      </c>
      <c r="B97" t="s">
        <v>5</v>
      </c>
      <c r="C97" t="s">
        <v>6</v>
      </c>
      <c r="D97">
        <v>2079700</v>
      </c>
    </row>
    <row r="98" spans="1:4" x14ac:dyDescent="0.25">
      <c r="A98" s="2">
        <v>39234</v>
      </c>
      <c r="B98" t="s">
        <v>5</v>
      </c>
      <c r="C98" t="s">
        <v>7</v>
      </c>
      <c r="D98">
        <v>1653200</v>
      </c>
    </row>
    <row r="99" spans="1:4" x14ac:dyDescent="0.25">
      <c r="A99" s="2">
        <v>39234</v>
      </c>
      <c r="B99" t="s">
        <v>18</v>
      </c>
      <c r="C99" t="s">
        <v>19</v>
      </c>
      <c r="D99">
        <v>1254900</v>
      </c>
    </row>
    <row r="100" spans="1:4" x14ac:dyDescent="0.25">
      <c r="A100" s="2">
        <v>39264</v>
      </c>
      <c r="B100" t="s">
        <v>5</v>
      </c>
      <c r="C100" t="s">
        <v>6</v>
      </c>
      <c r="D100">
        <v>2164500</v>
      </c>
    </row>
    <row r="101" spans="1:4" x14ac:dyDescent="0.25">
      <c r="A101" s="2">
        <v>39264</v>
      </c>
      <c r="B101" t="s">
        <v>5</v>
      </c>
      <c r="C101" t="s">
        <v>7</v>
      </c>
      <c r="D101">
        <v>1605500</v>
      </c>
    </row>
    <row r="102" spans="1:4" x14ac:dyDescent="0.25">
      <c r="A102" s="2">
        <v>39264</v>
      </c>
      <c r="B102" t="s">
        <v>18</v>
      </c>
      <c r="C102" t="s">
        <v>19</v>
      </c>
      <c r="D102">
        <v>1308900</v>
      </c>
    </row>
    <row r="103" spans="1:4" x14ac:dyDescent="0.25">
      <c r="A103" s="2">
        <v>39295</v>
      </c>
      <c r="B103" t="s">
        <v>5</v>
      </c>
      <c r="C103" t="s">
        <v>6</v>
      </c>
      <c r="D103">
        <v>2256000</v>
      </c>
    </row>
    <row r="104" spans="1:4" x14ac:dyDescent="0.25">
      <c r="A104" s="2">
        <v>39295</v>
      </c>
      <c r="B104" t="s">
        <v>5</v>
      </c>
      <c r="C104" t="s">
        <v>7</v>
      </c>
      <c r="D104">
        <v>1558100</v>
      </c>
    </row>
    <row r="105" spans="1:4" x14ac:dyDescent="0.25">
      <c r="A105" s="2">
        <v>39295</v>
      </c>
      <c r="B105" t="s">
        <v>18</v>
      </c>
      <c r="C105" t="s">
        <v>19</v>
      </c>
      <c r="D105">
        <v>1366700</v>
      </c>
    </row>
    <row r="106" spans="1:4" x14ac:dyDescent="0.25">
      <c r="A106" s="2">
        <v>39326</v>
      </c>
      <c r="B106" t="s">
        <v>5</v>
      </c>
      <c r="C106" t="s">
        <v>6</v>
      </c>
      <c r="D106">
        <v>2332500</v>
      </c>
    </row>
    <row r="107" spans="1:4" x14ac:dyDescent="0.25">
      <c r="A107" s="2">
        <v>39326</v>
      </c>
      <c r="B107" t="s">
        <v>5</v>
      </c>
      <c r="C107" t="s">
        <v>7</v>
      </c>
      <c r="D107">
        <v>1508100</v>
      </c>
    </row>
    <row r="108" spans="1:4" x14ac:dyDescent="0.25">
      <c r="A108" s="2">
        <v>39326</v>
      </c>
      <c r="B108" t="s">
        <v>18</v>
      </c>
      <c r="C108" t="s">
        <v>19</v>
      </c>
      <c r="D108">
        <v>1440000</v>
      </c>
    </row>
    <row r="109" spans="1:4" x14ac:dyDescent="0.25">
      <c r="A109" s="2">
        <v>39356</v>
      </c>
      <c r="B109" t="s">
        <v>5</v>
      </c>
      <c r="C109" t="s">
        <v>6</v>
      </c>
      <c r="D109">
        <v>2379500</v>
      </c>
    </row>
    <row r="110" spans="1:4" x14ac:dyDescent="0.25">
      <c r="A110" s="2">
        <v>39356</v>
      </c>
      <c r="B110" t="s">
        <v>5</v>
      </c>
      <c r="C110" t="s">
        <v>7</v>
      </c>
      <c r="D110">
        <v>1450600</v>
      </c>
    </row>
    <row r="111" spans="1:4" x14ac:dyDescent="0.25">
      <c r="A111" s="2">
        <v>39356</v>
      </c>
      <c r="B111" t="s">
        <v>18</v>
      </c>
      <c r="C111" t="s">
        <v>19</v>
      </c>
      <c r="D111">
        <v>1509600</v>
      </c>
    </row>
    <row r="112" spans="1:4" x14ac:dyDescent="0.25">
      <c r="A112" s="2">
        <v>39387</v>
      </c>
      <c r="B112" t="s">
        <v>5</v>
      </c>
      <c r="C112" t="s">
        <v>6</v>
      </c>
      <c r="D112">
        <v>2444700</v>
      </c>
    </row>
    <row r="113" spans="1:4" x14ac:dyDescent="0.25">
      <c r="A113" s="2">
        <v>39387</v>
      </c>
      <c r="B113" t="s">
        <v>5</v>
      </c>
      <c r="C113" t="s">
        <v>7</v>
      </c>
      <c r="D113">
        <v>1394400</v>
      </c>
    </row>
    <row r="114" spans="1:4" x14ac:dyDescent="0.25">
      <c r="A114" s="2">
        <v>39387</v>
      </c>
      <c r="B114" t="s">
        <v>18</v>
      </c>
      <c r="C114" t="s">
        <v>19</v>
      </c>
      <c r="D114">
        <v>1592900</v>
      </c>
    </row>
    <row r="115" spans="1:4" x14ac:dyDescent="0.25">
      <c r="A115" s="2">
        <v>39417</v>
      </c>
      <c r="B115" t="s">
        <v>5</v>
      </c>
      <c r="C115" t="s">
        <v>6</v>
      </c>
      <c r="D115">
        <v>2600000</v>
      </c>
    </row>
    <row r="116" spans="1:4" x14ac:dyDescent="0.25">
      <c r="A116" s="2">
        <v>39417</v>
      </c>
      <c r="B116" t="s">
        <v>5</v>
      </c>
      <c r="C116" t="s">
        <v>7</v>
      </c>
      <c r="D116">
        <v>1318100</v>
      </c>
    </row>
    <row r="117" spans="1:4" x14ac:dyDescent="0.25">
      <c r="A117" s="2">
        <v>39417</v>
      </c>
      <c r="B117" t="s">
        <v>18</v>
      </c>
      <c r="C117" t="s">
        <v>19</v>
      </c>
      <c r="D117">
        <v>1701000</v>
      </c>
    </row>
    <row r="118" spans="1:4" x14ac:dyDescent="0.25">
      <c r="A118" s="2">
        <v>39448</v>
      </c>
      <c r="B118" t="s">
        <v>5</v>
      </c>
      <c r="C118" t="s">
        <v>6</v>
      </c>
      <c r="D118">
        <v>2733400</v>
      </c>
    </row>
    <row r="119" spans="1:4" x14ac:dyDescent="0.25">
      <c r="A119" s="2">
        <v>39448</v>
      </c>
      <c r="B119" t="s">
        <v>5</v>
      </c>
      <c r="C119" t="s">
        <v>7</v>
      </c>
      <c r="D119">
        <v>1255700</v>
      </c>
    </row>
    <row r="120" spans="1:4" x14ac:dyDescent="0.25">
      <c r="A120" s="2">
        <v>39448</v>
      </c>
      <c r="B120" t="s">
        <v>18</v>
      </c>
      <c r="C120" t="s">
        <v>19</v>
      </c>
      <c r="D120">
        <v>1776000</v>
      </c>
    </row>
    <row r="121" spans="1:4" x14ac:dyDescent="0.25">
      <c r="A121" s="2">
        <v>39479</v>
      </c>
      <c r="B121" t="s">
        <v>5</v>
      </c>
      <c r="C121" t="s">
        <v>6</v>
      </c>
      <c r="D121">
        <v>2772900</v>
      </c>
    </row>
    <row r="122" spans="1:4" x14ac:dyDescent="0.25">
      <c r="A122" s="2">
        <v>39479</v>
      </c>
      <c r="B122" t="s">
        <v>5</v>
      </c>
      <c r="C122" t="s">
        <v>7</v>
      </c>
      <c r="D122">
        <v>1216900</v>
      </c>
    </row>
    <row r="123" spans="1:4" x14ac:dyDescent="0.25">
      <c r="A123" s="2">
        <v>39479</v>
      </c>
      <c r="B123" t="s">
        <v>18</v>
      </c>
      <c r="C123" t="s">
        <v>19</v>
      </c>
      <c r="D123">
        <v>1835700</v>
      </c>
    </row>
    <row r="124" spans="1:4" x14ac:dyDescent="0.25">
      <c r="A124" s="2">
        <v>39508</v>
      </c>
      <c r="B124" t="s">
        <v>5</v>
      </c>
      <c r="C124" t="s">
        <v>6</v>
      </c>
      <c r="D124">
        <v>2849000</v>
      </c>
    </row>
    <row r="125" spans="1:4" x14ac:dyDescent="0.25">
      <c r="A125" s="2">
        <v>39508</v>
      </c>
      <c r="B125" t="s">
        <v>5</v>
      </c>
      <c r="C125" t="s">
        <v>7</v>
      </c>
      <c r="D125">
        <v>1153900</v>
      </c>
    </row>
    <row r="126" spans="1:4" x14ac:dyDescent="0.25">
      <c r="A126" s="2">
        <v>39508</v>
      </c>
      <c r="B126" t="s">
        <v>18</v>
      </c>
      <c r="C126" t="s">
        <v>19</v>
      </c>
      <c r="D126">
        <v>1921200</v>
      </c>
    </row>
    <row r="127" spans="1:4" x14ac:dyDescent="0.25">
      <c r="A127" s="2">
        <v>39539</v>
      </c>
      <c r="B127" t="s">
        <v>5</v>
      </c>
      <c r="C127" t="s">
        <v>6</v>
      </c>
      <c r="D127">
        <v>2899200</v>
      </c>
    </row>
    <row r="128" spans="1:4" x14ac:dyDescent="0.25">
      <c r="A128" s="2">
        <v>39539</v>
      </c>
      <c r="B128" t="s">
        <v>5</v>
      </c>
      <c r="C128" t="s">
        <v>7</v>
      </c>
      <c r="D128">
        <v>1103600</v>
      </c>
    </row>
    <row r="129" spans="1:4" x14ac:dyDescent="0.25">
      <c r="A129" s="2">
        <v>39539</v>
      </c>
      <c r="B129" t="s">
        <v>18</v>
      </c>
      <c r="C129" t="s">
        <v>19</v>
      </c>
      <c r="D129">
        <v>1990900</v>
      </c>
    </row>
    <row r="130" spans="1:4" x14ac:dyDescent="0.25">
      <c r="A130" s="2">
        <v>39569</v>
      </c>
      <c r="B130" t="s">
        <v>5</v>
      </c>
      <c r="C130" t="s">
        <v>6</v>
      </c>
      <c r="D130">
        <v>2960100</v>
      </c>
    </row>
    <row r="131" spans="1:4" x14ac:dyDescent="0.25">
      <c r="A131" s="2">
        <v>39569</v>
      </c>
      <c r="B131" t="s">
        <v>5</v>
      </c>
      <c r="C131" t="s">
        <v>7</v>
      </c>
      <c r="D131">
        <v>1059400</v>
      </c>
    </row>
    <row r="132" spans="1:4" x14ac:dyDescent="0.25">
      <c r="A132" s="2">
        <v>39569</v>
      </c>
      <c r="B132" t="s">
        <v>18</v>
      </c>
      <c r="C132" t="s">
        <v>19</v>
      </c>
      <c r="D132">
        <v>2060000</v>
      </c>
    </row>
    <row r="133" spans="1:4" x14ac:dyDescent="0.25">
      <c r="A133" s="2">
        <v>39600</v>
      </c>
      <c r="B133" t="s">
        <v>5</v>
      </c>
      <c r="C133" t="s">
        <v>6</v>
      </c>
      <c r="D133">
        <v>3006000</v>
      </c>
    </row>
    <row r="134" spans="1:4" x14ac:dyDescent="0.25">
      <c r="A134" s="2">
        <v>39600</v>
      </c>
      <c r="B134" t="s">
        <v>5</v>
      </c>
      <c r="C134" t="s">
        <v>7</v>
      </c>
      <c r="D134">
        <v>1017000</v>
      </c>
    </row>
    <row r="135" spans="1:4" x14ac:dyDescent="0.25">
      <c r="A135" s="2">
        <v>39600</v>
      </c>
      <c r="B135" t="s">
        <v>18</v>
      </c>
      <c r="C135" t="s">
        <v>19</v>
      </c>
      <c r="D135">
        <v>2136900</v>
      </c>
    </row>
    <row r="136" spans="1:4" x14ac:dyDescent="0.25">
      <c r="A136" s="2">
        <v>39630</v>
      </c>
      <c r="B136" t="s">
        <v>5</v>
      </c>
      <c r="C136" t="s">
        <v>6</v>
      </c>
      <c r="D136">
        <v>3043100</v>
      </c>
    </row>
    <row r="137" spans="1:4" x14ac:dyDescent="0.25">
      <c r="A137" s="2">
        <v>39630</v>
      </c>
      <c r="B137" t="s">
        <v>5</v>
      </c>
      <c r="C137" t="s">
        <v>7</v>
      </c>
      <c r="D137">
        <v>966000</v>
      </c>
    </row>
    <row r="138" spans="1:4" x14ac:dyDescent="0.25">
      <c r="A138" s="2">
        <v>39630</v>
      </c>
      <c r="B138" t="s">
        <v>18</v>
      </c>
      <c r="C138" t="s">
        <v>19</v>
      </c>
      <c r="D138">
        <v>2211400</v>
      </c>
    </row>
    <row r="139" spans="1:4" x14ac:dyDescent="0.25">
      <c r="A139" s="2">
        <v>39661</v>
      </c>
      <c r="B139" t="s">
        <v>5</v>
      </c>
      <c r="C139" t="s">
        <v>6</v>
      </c>
      <c r="D139">
        <v>3015000</v>
      </c>
    </row>
    <row r="140" spans="1:4" x14ac:dyDescent="0.25">
      <c r="A140" s="2">
        <v>39661</v>
      </c>
      <c r="B140" t="s">
        <v>5</v>
      </c>
      <c r="C140" t="s">
        <v>7</v>
      </c>
      <c r="D140">
        <v>923400</v>
      </c>
    </row>
    <row r="141" spans="1:4" x14ac:dyDescent="0.25">
      <c r="A141" s="2">
        <v>39661</v>
      </c>
      <c r="B141" t="s">
        <v>18</v>
      </c>
      <c r="C141" t="s">
        <v>19</v>
      </c>
      <c r="D141">
        <v>2277700</v>
      </c>
    </row>
    <row r="142" spans="1:4" x14ac:dyDescent="0.25">
      <c r="A142" s="2">
        <v>39692</v>
      </c>
      <c r="B142" t="s">
        <v>5</v>
      </c>
      <c r="C142" t="s">
        <v>6</v>
      </c>
      <c r="D142">
        <v>3038000</v>
      </c>
    </row>
    <row r="143" spans="1:4" x14ac:dyDescent="0.25">
      <c r="A143" s="2">
        <v>39692</v>
      </c>
      <c r="B143" t="s">
        <v>5</v>
      </c>
      <c r="C143" t="s">
        <v>7</v>
      </c>
      <c r="D143">
        <v>886000</v>
      </c>
    </row>
    <row r="144" spans="1:4" x14ac:dyDescent="0.25">
      <c r="A144" s="2">
        <v>39692</v>
      </c>
      <c r="B144" t="s">
        <v>18</v>
      </c>
      <c r="C144" t="s">
        <v>19</v>
      </c>
      <c r="D144">
        <v>2334400</v>
      </c>
    </row>
    <row r="145" spans="1:4" x14ac:dyDescent="0.25">
      <c r="A145" s="2">
        <v>39722</v>
      </c>
      <c r="B145" t="s">
        <v>5</v>
      </c>
      <c r="C145" t="s">
        <v>6</v>
      </c>
      <c r="D145">
        <v>3043600</v>
      </c>
    </row>
    <row r="146" spans="1:4" x14ac:dyDescent="0.25">
      <c r="A146" s="2">
        <v>39722</v>
      </c>
      <c r="B146" t="s">
        <v>5</v>
      </c>
      <c r="C146" t="s">
        <v>7</v>
      </c>
      <c r="D146">
        <v>851600</v>
      </c>
    </row>
    <row r="147" spans="1:4" x14ac:dyDescent="0.25">
      <c r="A147" s="2">
        <v>39722</v>
      </c>
      <c r="B147" t="s">
        <v>18</v>
      </c>
      <c r="C147" t="s">
        <v>19</v>
      </c>
      <c r="D147">
        <v>2379500</v>
      </c>
    </row>
    <row r="148" spans="1:4" x14ac:dyDescent="0.25">
      <c r="A148" s="2">
        <v>39753</v>
      </c>
      <c r="B148" t="s">
        <v>5</v>
      </c>
      <c r="C148" t="s">
        <v>6</v>
      </c>
      <c r="D148">
        <v>3047100</v>
      </c>
    </row>
    <row r="149" spans="1:4" x14ac:dyDescent="0.25">
      <c r="A149" s="2">
        <v>39753</v>
      </c>
      <c r="B149" t="s">
        <v>5</v>
      </c>
      <c r="C149" t="s">
        <v>7</v>
      </c>
      <c r="D149">
        <v>818600</v>
      </c>
    </row>
    <row r="150" spans="1:4" x14ac:dyDescent="0.25">
      <c r="A150" s="2">
        <v>39753</v>
      </c>
      <c r="B150" t="s">
        <v>18</v>
      </c>
      <c r="C150" t="s">
        <v>19</v>
      </c>
      <c r="D150">
        <v>2429500</v>
      </c>
    </row>
    <row r="151" spans="1:4" x14ac:dyDescent="0.25">
      <c r="A151" s="2">
        <v>39783</v>
      </c>
      <c r="B151" t="s">
        <v>5</v>
      </c>
      <c r="C151" t="s">
        <v>6</v>
      </c>
      <c r="D151">
        <v>3075000</v>
      </c>
    </row>
    <row r="152" spans="1:4" x14ac:dyDescent="0.25">
      <c r="A152" s="2">
        <v>39783</v>
      </c>
      <c r="B152" t="s">
        <v>5</v>
      </c>
      <c r="C152" t="s">
        <v>7</v>
      </c>
      <c r="D152">
        <v>791600</v>
      </c>
    </row>
    <row r="153" spans="1:4" x14ac:dyDescent="0.25">
      <c r="A153" s="2">
        <v>39783</v>
      </c>
      <c r="B153" t="s">
        <v>18</v>
      </c>
      <c r="C153" t="s">
        <v>19</v>
      </c>
      <c r="D153">
        <v>2473600</v>
      </c>
    </row>
    <row r="154" spans="1:4" x14ac:dyDescent="0.25">
      <c r="A154" s="2">
        <v>39814</v>
      </c>
      <c r="B154" t="s">
        <v>5</v>
      </c>
      <c r="C154" t="s">
        <v>6</v>
      </c>
      <c r="D154">
        <v>3083900</v>
      </c>
    </row>
    <row r="155" spans="1:4" x14ac:dyDescent="0.25">
      <c r="A155" s="2">
        <v>39814</v>
      </c>
      <c r="B155" t="s">
        <v>5</v>
      </c>
      <c r="C155" t="s">
        <v>7</v>
      </c>
      <c r="D155">
        <v>752300</v>
      </c>
    </row>
    <row r="156" spans="1:4" x14ac:dyDescent="0.25">
      <c r="A156" s="2">
        <v>39814</v>
      </c>
      <c r="B156" t="s">
        <v>18</v>
      </c>
      <c r="C156" t="s">
        <v>19</v>
      </c>
      <c r="D156">
        <v>2518400</v>
      </c>
    </row>
    <row r="157" spans="1:4" x14ac:dyDescent="0.25">
      <c r="A157" s="2">
        <v>39845</v>
      </c>
      <c r="B157" t="s">
        <v>5</v>
      </c>
      <c r="C157" t="s">
        <v>6</v>
      </c>
      <c r="D157">
        <v>3098100</v>
      </c>
    </row>
    <row r="158" spans="1:4" x14ac:dyDescent="0.25">
      <c r="A158" s="2">
        <v>39845</v>
      </c>
      <c r="B158" t="s">
        <v>5</v>
      </c>
      <c r="C158" t="s">
        <v>7</v>
      </c>
      <c r="D158">
        <v>723900</v>
      </c>
    </row>
    <row r="159" spans="1:4" x14ac:dyDescent="0.25">
      <c r="A159" s="2">
        <v>39845</v>
      </c>
      <c r="B159" t="s">
        <v>18</v>
      </c>
      <c r="C159" t="s">
        <v>19</v>
      </c>
      <c r="D159">
        <v>2553600</v>
      </c>
    </row>
    <row r="160" spans="1:4" x14ac:dyDescent="0.25">
      <c r="A160" s="2">
        <v>39873</v>
      </c>
      <c r="B160" t="s">
        <v>5</v>
      </c>
      <c r="C160" t="s">
        <v>6</v>
      </c>
      <c r="D160">
        <v>3118400</v>
      </c>
    </row>
    <row r="161" spans="1:4" x14ac:dyDescent="0.25">
      <c r="A161" s="2">
        <v>39873</v>
      </c>
      <c r="B161" t="s">
        <v>5</v>
      </c>
      <c r="C161" t="s">
        <v>7</v>
      </c>
      <c r="D161">
        <v>693500</v>
      </c>
    </row>
    <row r="162" spans="1:4" x14ac:dyDescent="0.25">
      <c r="A162" s="2">
        <v>39873</v>
      </c>
      <c r="B162" t="s">
        <v>18</v>
      </c>
      <c r="C162" t="s">
        <v>19</v>
      </c>
      <c r="D162">
        <v>2602900</v>
      </c>
    </row>
    <row r="163" spans="1:4" x14ac:dyDescent="0.25">
      <c r="A163" s="2">
        <v>39904</v>
      </c>
      <c r="B163" t="s">
        <v>5</v>
      </c>
      <c r="C163" t="s">
        <v>6</v>
      </c>
      <c r="D163">
        <v>3142100</v>
      </c>
    </row>
    <row r="164" spans="1:4" x14ac:dyDescent="0.25">
      <c r="A164" s="2">
        <v>39904</v>
      </c>
      <c r="B164" t="s">
        <v>5</v>
      </c>
      <c r="C164" t="s">
        <v>7</v>
      </c>
      <c r="D164">
        <v>670600</v>
      </c>
    </row>
    <row r="165" spans="1:4" x14ac:dyDescent="0.25">
      <c r="A165" s="2">
        <v>39904</v>
      </c>
      <c r="B165" t="s">
        <v>18</v>
      </c>
      <c r="C165" t="s">
        <v>19</v>
      </c>
      <c r="D165">
        <v>2635300</v>
      </c>
    </row>
    <row r="166" spans="1:4" x14ac:dyDescent="0.25">
      <c r="A166" s="2">
        <v>39934</v>
      </c>
      <c r="B166" t="s">
        <v>5</v>
      </c>
      <c r="C166" t="s">
        <v>6</v>
      </c>
      <c r="D166">
        <v>3157200</v>
      </c>
    </row>
    <row r="167" spans="1:4" x14ac:dyDescent="0.25">
      <c r="A167" s="2">
        <v>39934</v>
      </c>
      <c r="B167" t="s">
        <v>5</v>
      </c>
      <c r="C167" t="s">
        <v>7</v>
      </c>
      <c r="D167">
        <v>631100</v>
      </c>
    </row>
    <row r="168" spans="1:4" x14ac:dyDescent="0.25">
      <c r="A168" s="2">
        <v>39934</v>
      </c>
      <c r="B168" t="s">
        <v>18</v>
      </c>
      <c r="C168" t="s">
        <v>19</v>
      </c>
      <c r="D168">
        <v>2687100</v>
      </c>
    </row>
    <row r="169" spans="1:4" x14ac:dyDescent="0.25">
      <c r="A169" s="2">
        <v>39965</v>
      </c>
      <c r="B169" t="s">
        <v>5</v>
      </c>
      <c r="C169" t="s">
        <v>6</v>
      </c>
      <c r="D169">
        <v>3173000</v>
      </c>
    </row>
    <row r="170" spans="1:4" x14ac:dyDescent="0.25">
      <c r="A170" s="2">
        <v>39965</v>
      </c>
      <c r="B170" t="s">
        <v>5</v>
      </c>
      <c r="C170" t="s">
        <v>7</v>
      </c>
      <c r="D170">
        <v>601200</v>
      </c>
    </row>
    <row r="171" spans="1:4" x14ac:dyDescent="0.25">
      <c r="A171" s="2">
        <v>39965</v>
      </c>
      <c r="B171" t="s">
        <v>18</v>
      </c>
      <c r="C171" t="s">
        <v>19</v>
      </c>
      <c r="D171">
        <v>2739300</v>
      </c>
    </row>
    <row r="172" spans="1:4" x14ac:dyDescent="0.25">
      <c r="A172" s="2">
        <v>39995</v>
      </c>
      <c r="B172" t="s">
        <v>5</v>
      </c>
      <c r="C172" t="s">
        <v>6</v>
      </c>
      <c r="D172">
        <v>3215100</v>
      </c>
    </row>
    <row r="173" spans="1:4" x14ac:dyDescent="0.25">
      <c r="A173" s="2">
        <v>39995</v>
      </c>
      <c r="B173" t="s">
        <v>5</v>
      </c>
      <c r="C173" t="s">
        <v>7</v>
      </c>
      <c r="D173">
        <v>570800</v>
      </c>
    </row>
    <row r="174" spans="1:4" x14ac:dyDescent="0.25">
      <c r="A174" s="2">
        <v>39995</v>
      </c>
      <c r="B174" t="s">
        <v>18</v>
      </c>
      <c r="C174" t="s">
        <v>19</v>
      </c>
      <c r="D174">
        <v>2795200</v>
      </c>
    </row>
    <row r="175" spans="1:4" x14ac:dyDescent="0.25">
      <c r="A175" s="2">
        <v>40026</v>
      </c>
      <c r="B175" t="s">
        <v>5</v>
      </c>
      <c r="C175" t="s">
        <v>6</v>
      </c>
      <c r="D175">
        <v>3235200</v>
      </c>
    </row>
    <row r="176" spans="1:4" x14ac:dyDescent="0.25">
      <c r="A176" s="2">
        <v>40026</v>
      </c>
      <c r="B176" t="s">
        <v>5</v>
      </c>
      <c r="C176" t="s">
        <v>7</v>
      </c>
      <c r="D176">
        <v>545200</v>
      </c>
    </row>
    <row r="177" spans="1:4" x14ac:dyDescent="0.25">
      <c r="A177" s="2">
        <v>40026</v>
      </c>
      <c r="B177" t="s">
        <v>18</v>
      </c>
      <c r="C177" t="s">
        <v>19</v>
      </c>
      <c r="D177">
        <v>2858900</v>
      </c>
    </row>
    <row r="178" spans="1:4" x14ac:dyDescent="0.25">
      <c r="A178" s="2">
        <v>40057</v>
      </c>
      <c r="B178" t="s">
        <v>5</v>
      </c>
      <c r="C178" t="s">
        <v>6</v>
      </c>
      <c r="D178">
        <v>3255400</v>
      </c>
    </row>
    <row r="179" spans="1:4" x14ac:dyDescent="0.25">
      <c r="A179" s="2">
        <v>40057</v>
      </c>
      <c r="B179" t="s">
        <v>5</v>
      </c>
      <c r="C179" t="s">
        <v>7</v>
      </c>
      <c r="D179">
        <v>523200</v>
      </c>
    </row>
    <row r="180" spans="1:4" x14ac:dyDescent="0.25">
      <c r="A180" s="2">
        <v>40057</v>
      </c>
      <c r="B180" t="s">
        <v>18</v>
      </c>
      <c r="C180" t="s">
        <v>19</v>
      </c>
      <c r="D180">
        <v>2927700</v>
      </c>
    </row>
    <row r="181" spans="1:4" x14ac:dyDescent="0.25">
      <c r="A181" s="2">
        <v>40087</v>
      </c>
      <c r="B181" t="s">
        <v>5</v>
      </c>
      <c r="C181" t="s">
        <v>6</v>
      </c>
      <c r="D181">
        <v>3255300</v>
      </c>
    </row>
    <row r="182" spans="1:4" x14ac:dyDescent="0.25">
      <c r="A182" s="2">
        <v>40087</v>
      </c>
      <c r="B182" t="s">
        <v>5</v>
      </c>
      <c r="C182" t="s">
        <v>7</v>
      </c>
      <c r="D182">
        <v>500900</v>
      </c>
    </row>
    <row r="183" spans="1:4" x14ac:dyDescent="0.25">
      <c r="A183" s="2">
        <v>40087</v>
      </c>
      <c r="B183" t="s">
        <v>18</v>
      </c>
      <c r="C183" t="s">
        <v>19</v>
      </c>
      <c r="D183">
        <v>2989500</v>
      </c>
    </row>
    <row r="184" spans="1:4" x14ac:dyDescent="0.25">
      <c r="A184" s="2">
        <v>40118</v>
      </c>
      <c r="B184" t="s">
        <v>5</v>
      </c>
      <c r="C184" t="s">
        <v>6</v>
      </c>
      <c r="D184">
        <v>3261900</v>
      </c>
    </row>
    <row r="185" spans="1:4" x14ac:dyDescent="0.25">
      <c r="A185" s="2">
        <v>40118</v>
      </c>
      <c r="B185" t="s">
        <v>5</v>
      </c>
      <c r="C185" t="s">
        <v>7</v>
      </c>
      <c r="D185">
        <v>480600</v>
      </c>
    </row>
    <row r="186" spans="1:4" x14ac:dyDescent="0.25">
      <c r="A186" s="2">
        <v>40118</v>
      </c>
      <c r="B186" t="s">
        <v>18</v>
      </c>
      <c r="C186" t="s">
        <v>19</v>
      </c>
      <c r="D186">
        <v>3068400</v>
      </c>
    </row>
    <row r="187" spans="1:4" x14ac:dyDescent="0.25">
      <c r="A187" s="2">
        <v>40148</v>
      </c>
      <c r="B187" t="s">
        <v>5</v>
      </c>
      <c r="C187" t="s">
        <v>7</v>
      </c>
      <c r="D187">
        <v>3240700</v>
      </c>
    </row>
    <row r="188" spans="1:4" x14ac:dyDescent="0.25">
      <c r="A188" s="2">
        <v>40148</v>
      </c>
      <c r="B188" t="s">
        <v>5</v>
      </c>
      <c r="C188" t="s">
        <v>6</v>
      </c>
      <c r="D188">
        <v>456200</v>
      </c>
    </row>
    <row r="189" spans="1:4" x14ac:dyDescent="0.25">
      <c r="A189" s="2">
        <v>40148</v>
      </c>
      <c r="B189" t="s">
        <v>18</v>
      </c>
      <c r="C189" t="s">
        <v>7</v>
      </c>
      <c r="D189">
        <v>170900</v>
      </c>
    </row>
    <row r="190" spans="1:4" x14ac:dyDescent="0.25">
      <c r="A190" s="2">
        <v>40148</v>
      </c>
      <c r="B190" t="s">
        <v>18</v>
      </c>
      <c r="C190" t="s">
        <v>6</v>
      </c>
      <c r="D190">
        <v>2989400</v>
      </c>
    </row>
    <row r="191" spans="1:4" x14ac:dyDescent="0.25">
      <c r="A191" s="2">
        <v>40179</v>
      </c>
      <c r="B191" t="s">
        <v>5</v>
      </c>
      <c r="C191" t="s">
        <v>7</v>
      </c>
      <c r="D191">
        <v>3195500</v>
      </c>
    </row>
    <row r="192" spans="1:4" x14ac:dyDescent="0.25">
      <c r="A192" s="2">
        <v>40179</v>
      </c>
      <c r="B192" t="s">
        <v>5</v>
      </c>
      <c r="C192" t="s">
        <v>6</v>
      </c>
      <c r="D192">
        <v>435600</v>
      </c>
    </row>
    <row r="193" spans="1:4" x14ac:dyDescent="0.25">
      <c r="A193" s="2">
        <v>40179</v>
      </c>
      <c r="B193" t="s">
        <v>18</v>
      </c>
      <c r="C193" t="s">
        <v>7</v>
      </c>
      <c r="D193">
        <v>212200</v>
      </c>
    </row>
    <row r="194" spans="1:4" x14ac:dyDescent="0.25">
      <c r="A194" s="2">
        <v>40179</v>
      </c>
      <c r="B194" t="s">
        <v>18</v>
      </c>
      <c r="C194" t="s">
        <v>6</v>
      </c>
      <c r="D194">
        <v>3035700</v>
      </c>
    </row>
    <row r="195" spans="1:4" x14ac:dyDescent="0.25">
      <c r="A195" s="2">
        <v>40210</v>
      </c>
      <c r="B195" t="s">
        <v>5</v>
      </c>
      <c r="C195" t="s">
        <v>7</v>
      </c>
      <c r="D195">
        <v>3121600</v>
      </c>
    </row>
    <row r="196" spans="1:4" x14ac:dyDescent="0.25">
      <c r="A196" s="2">
        <v>40210</v>
      </c>
      <c r="B196" t="s">
        <v>5</v>
      </c>
      <c r="C196" t="s">
        <v>6</v>
      </c>
      <c r="D196">
        <v>418400</v>
      </c>
    </row>
    <row r="197" spans="1:4" x14ac:dyDescent="0.25">
      <c r="A197" s="2">
        <v>40210</v>
      </c>
      <c r="B197" t="s">
        <v>18</v>
      </c>
      <c r="C197" t="s">
        <v>7</v>
      </c>
      <c r="D197">
        <v>251600</v>
      </c>
    </row>
    <row r="198" spans="1:4" x14ac:dyDescent="0.25">
      <c r="A198" s="2">
        <v>40210</v>
      </c>
      <c r="B198" t="s">
        <v>18</v>
      </c>
      <c r="C198" t="s">
        <v>6</v>
      </c>
      <c r="D198">
        <v>3073400</v>
      </c>
    </row>
    <row r="199" spans="1:4" x14ac:dyDescent="0.25">
      <c r="A199" s="2">
        <v>40238</v>
      </c>
      <c r="B199" t="s">
        <v>5</v>
      </c>
      <c r="C199" t="s">
        <v>7</v>
      </c>
      <c r="D199">
        <v>3063500</v>
      </c>
    </row>
    <row r="200" spans="1:4" x14ac:dyDescent="0.25">
      <c r="A200" s="2">
        <v>40238</v>
      </c>
      <c r="B200" t="s">
        <v>5</v>
      </c>
      <c r="C200" t="s">
        <v>6</v>
      </c>
      <c r="D200">
        <v>398500</v>
      </c>
    </row>
    <row r="201" spans="1:4" x14ac:dyDescent="0.25">
      <c r="A201" s="2">
        <v>40238</v>
      </c>
      <c r="B201" t="s">
        <v>18</v>
      </c>
      <c r="C201" t="s">
        <v>7</v>
      </c>
      <c r="D201">
        <v>297400</v>
      </c>
    </row>
    <row r="202" spans="1:4" x14ac:dyDescent="0.25">
      <c r="A202" s="2">
        <v>40238</v>
      </c>
      <c r="B202" t="s">
        <v>18</v>
      </c>
      <c r="C202" t="s">
        <v>6</v>
      </c>
      <c r="D202">
        <v>3120500</v>
      </c>
    </row>
    <row r="203" spans="1:4" x14ac:dyDescent="0.25">
      <c r="A203" s="2">
        <v>40269</v>
      </c>
      <c r="B203" t="s">
        <v>5</v>
      </c>
      <c r="C203" t="s">
        <v>7</v>
      </c>
      <c r="D203">
        <v>2988500</v>
      </c>
    </row>
    <row r="204" spans="1:4" x14ac:dyDescent="0.25">
      <c r="A204" s="2">
        <v>40269</v>
      </c>
      <c r="B204" t="s">
        <v>5</v>
      </c>
      <c r="C204" t="s">
        <v>6</v>
      </c>
      <c r="D204">
        <v>380800</v>
      </c>
    </row>
    <row r="205" spans="1:4" x14ac:dyDescent="0.25">
      <c r="A205" s="2">
        <v>40269</v>
      </c>
      <c r="B205" t="s">
        <v>18</v>
      </c>
      <c r="C205" t="s">
        <v>7</v>
      </c>
      <c r="D205">
        <v>385300</v>
      </c>
    </row>
    <row r="206" spans="1:4" x14ac:dyDescent="0.25">
      <c r="A206" s="2">
        <v>40269</v>
      </c>
      <c r="B206" t="s">
        <v>18</v>
      </c>
      <c r="C206" t="s">
        <v>6</v>
      </c>
      <c r="D206">
        <v>3165600</v>
      </c>
    </row>
    <row r="207" spans="1:4" x14ac:dyDescent="0.25">
      <c r="A207" s="2">
        <v>40299</v>
      </c>
      <c r="B207" t="s">
        <v>5</v>
      </c>
      <c r="C207" t="s">
        <v>7</v>
      </c>
      <c r="D207">
        <v>2891100</v>
      </c>
    </row>
    <row r="208" spans="1:4" x14ac:dyDescent="0.25">
      <c r="A208" s="2">
        <v>40299</v>
      </c>
      <c r="B208" t="s">
        <v>5</v>
      </c>
      <c r="C208" t="s">
        <v>6</v>
      </c>
      <c r="D208">
        <v>361100</v>
      </c>
    </row>
    <row r="209" spans="1:4" x14ac:dyDescent="0.25">
      <c r="A209" s="2">
        <v>40299</v>
      </c>
      <c r="B209" t="s">
        <v>18</v>
      </c>
      <c r="C209" t="s">
        <v>7</v>
      </c>
      <c r="D209">
        <v>506100</v>
      </c>
    </row>
    <row r="210" spans="1:4" x14ac:dyDescent="0.25">
      <c r="A210" s="2">
        <v>40299</v>
      </c>
      <c r="B210" t="s">
        <v>18</v>
      </c>
      <c r="C210" t="s">
        <v>6</v>
      </c>
      <c r="D210">
        <v>3206300</v>
      </c>
    </row>
    <row r="211" spans="1:4" x14ac:dyDescent="0.25">
      <c r="A211" s="2">
        <v>40330</v>
      </c>
      <c r="B211" t="s">
        <v>5</v>
      </c>
      <c r="C211" t="s">
        <v>7</v>
      </c>
      <c r="D211">
        <v>2797700</v>
      </c>
    </row>
    <row r="212" spans="1:4" x14ac:dyDescent="0.25">
      <c r="A212" s="2">
        <v>40330</v>
      </c>
      <c r="B212" t="s">
        <v>5</v>
      </c>
      <c r="C212" t="s">
        <v>6</v>
      </c>
      <c r="D212">
        <v>351100</v>
      </c>
    </row>
    <row r="213" spans="1:4" x14ac:dyDescent="0.25">
      <c r="A213" s="2">
        <v>40330</v>
      </c>
      <c r="B213" t="s">
        <v>18</v>
      </c>
      <c r="C213" t="s">
        <v>7</v>
      </c>
      <c r="D213">
        <v>626500</v>
      </c>
    </row>
    <row r="214" spans="1:4" x14ac:dyDescent="0.25">
      <c r="A214" s="2">
        <v>40330</v>
      </c>
      <c r="B214" t="s">
        <v>18</v>
      </c>
      <c r="C214" t="s">
        <v>6</v>
      </c>
      <c r="D214">
        <v>3242000</v>
      </c>
    </row>
    <row r="215" spans="1:4" x14ac:dyDescent="0.25">
      <c r="A215" s="2">
        <v>40360</v>
      </c>
      <c r="B215" t="s">
        <v>5</v>
      </c>
      <c r="C215" t="s">
        <v>7</v>
      </c>
      <c r="D215">
        <v>2740800</v>
      </c>
    </row>
    <row r="216" spans="1:4" x14ac:dyDescent="0.25">
      <c r="A216" s="2">
        <v>40360</v>
      </c>
      <c r="B216" t="s">
        <v>5</v>
      </c>
      <c r="C216" t="s">
        <v>6</v>
      </c>
      <c r="D216">
        <v>340200</v>
      </c>
    </row>
    <row r="217" spans="1:4" x14ac:dyDescent="0.25">
      <c r="A217" s="2">
        <v>40360</v>
      </c>
      <c r="B217" t="s">
        <v>18</v>
      </c>
      <c r="C217" t="s">
        <v>7</v>
      </c>
      <c r="D217">
        <v>750400</v>
      </c>
    </row>
    <row r="218" spans="1:4" x14ac:dyDescent="0.25">
      <c r="A218" s="2">
        <v>40360</v>
      </c>
      <c r="B218" t="s">
        <v>18</v>
      </c>
      <c r="C218" t="s">
        <v>6</v>
      </c>
      <c r="D218">
        <v>3280800</v>
      </c>
    </row>
    <row r="219" spans="1:4" x14ac:dyDescent="0.25">
      <c r="A219" s="2">
        <v>40391</v>
      </c>
      <c r="B219" t="s">
        <v>5</v>
      </c>
      <c r="C219" t="s">
        <v>7</v>
      </c>
      <c r="D219">
        <v>2625200</v>
      </c>
    </row>
    <row r="220" spans="1:4" x14ac:dyDescent="0.25">
      <c r="A220" s="2">
        <v>40391</v>
      </c>
      <c r="B220" t="s">
        <v>5</v>
      </c>
      <c r="C220" t="s">
        <v>6</v>
      </c>
      <c r="D220">
        <v>330900</v>
      </c>
    </row>
    <row r="221" spans="1:4" x14ac:dyDescent="0.25">
      <c r="A221" s="2">
        <v>40391</v>
      </c>
      <c r="B221" t="s">
        <v>18</v>
      </c>
      <c r="C221" t="s">
        <v>7</v>
      </c>
      <c r="D221">
        <v>858400</v>
      </c>
    </row>
    <row r="222" spans="1:4" x14ac:dyDescent="0.25">
      <c r="A222" s="2">
        <v>40391</v>
      </c>
      <c r="B222" t="s">
        <v>18</v>
      </c>
      <c r="C222" t="s">
        <v>6</v>
      </c>
      <c r="D222">
        <v>3321300</v>
      </c>
    </row>
    <row r="223" spans="1:4" x14ac:dyDescent="0.25">
      <c r="A223" s="2">
        <v>40422</v>
      </c>
      <c r="B223" t="s">
        <v>5</v>
      </c>
      <c r="C223" t="s">
        <v>7</v>
      </c>
      <c r="D223">
        <v>2531800</v>
      </c>
    </row>
    <row r="224" spans="1:4" x14ac:dyDescent="0.25">
      <c r="A224" s="2">
        <v>40422</v>
      </c>
      <c r="B224" t="s">
        <v>5</v>
      </c>
      <c r="C224" t="s">
        <v>6</v>
      </c>
      <c r="D224">
        <v>320000</v>
      </c>
    </row>
    <row r="225" spans="1:4" x14ac:dyDescent="0.25">
      <c r="A225" s="2">
        <v>40422</v>
      </c>
      <c r="B225" t="s">
        <v>18</v>
      </c>
      <c r="C225" t="s">
        <v>7</v>
      </c>
      <c r="D225">
        <v>963200</v>
      </c>
    </row>
    <row r="226" spans="1:4" x14ac:dyDescent="0.25">
      <c r="A226" s="2">
        <v>40422</v>
      </c>
      <c r="B226" t="s">
        <v>18</v>
      </c>
      <c r="C226" t="s">
        <v>6</v>
      </c>
      <c r="D226">
        <v>3363400</v>
      </c>
    </row>
    <row r="227" spans="1:4" x14ac:dyDescent="0.25">
      <c r="A227" s="2">
        <v>40452</v>
      </c>
      <c r="B227" t="s">
        <v>5</v>
      </c>
      <c r="C227" t="s">
        <v>7</v>
      </c>
      <c r="D227">
        <v>2438200</v>
      </c>
    </row>
    <row r="228" spans="1:4" x14ac:dyDescent="0.25">
      <c r="A228" s="2">
        <v>40452</v>
      </c>
      <c r="B228" t="s">
        <v>5</v>
      </c>
      <c r="C228" t="s">
        <v>6</v>
      </c>
      <c r="D228">
        <v>309900</v>
      </c>
    </row>
    <row r="229" spans="1:4" x14ac:dyDescent="0.25">
      <c r="A229" s="2">
        <v>40452</v>
      </c>
      <c r="B229" t="s">
        <v>18</v>
      </c>
      <c r="C229" t="s">
        <v>7</v>
      </c>
      <c r="D229">
        <v>1063400</v>
      </c>
    </row>
    <row r="230" spans="1:4" x14ac:dyDescent="0.25">
      <c r="A230" s="2">
        <v>40452</v>
      </c>
      <c r="B230" t="s">
        <v>18</v>
      </c>
      <c r="C230" t="s">
        <v>6</v>
      </c>
      <c r="D230">
        <v>3401700</v>
      </c>
    </row>
    <row r="231" spans="1:4" x14ac:dyDescent="0.25">
      <c r="A231" s="2">
        <v>40483</v>
      </c>
      <c r="B231" t="s">
        <v>5</v>
      </c>
      <c r="C231" t="s">
        <v>7</v>
      </c>
      <c r="D231">
        <v>2356400</v>
      </c>
    </row>
    <row r="232" spans="1:4" x14ac:dyDescent="0.25">
      <c r="A232" s="2">
        <v>40483</v>
      </c>
      <c r="B232" t="s">
        <v>5</v>
      </c>
      <c r="C232" t="s">
        <v>6</v>
      </c>
      <c r="D232">
        <v>300200</v>
      </c>
    </row>
    <row r="233" spans="1:4" x14ac:dyDescent="0.25">
      <c r="A233" s="2">
        <v>40483</v>
      </c>
      <c r="B233" t="s">
        <v>18</v>
      </c>
      <c r="C233" t="s">
        <v>7</v>
      </c>
      <c r="D233">
        <v>1152500</v>
      </c>
    </row>
    <row r="234" spans="1:4" x14ac:dyDescent="0.25">
      <c r="A234" s="2">
        <v>40483</v>
      </c>
      <c r="B234" t="s">
        <v>18</v>
      </c>
      <c r="C234" t="s">
        <v>6</v>
      </c>
      <c r="D234">
        <v>3434600</v>
      </c>
    </row>
    <row r="235" spans="1:4" x14ac:dyDescent="0.25">
      <c r="A235" s="2">
        <v>40513</v>
      </c>
      <c r="B235" t="s">
        <v>5</v>
      </c>
      <c r="C235" t="s">
        <v>7</v>
      </c>
      <c r="D235">
        <v>2294400</v>
      </c>
    </row>
    <row r="236" spans="1:4" x14ac:dyDescent="0.25">
      <c r="A236" s="2">
        <v>40513</v>
      </c>
      <c r="B236" t="s">
        <v>5</v>
      </c>
      <c r="C236" t="s">
        <v>6</v>
      </c>
      <c r="D236">
        <v>289800</v>
      </c>
    </row>
    <row r="237" spans="1:4" x14ac:dyDescent="0.25">
      <c r="A237" s="2">
        <v>40513</v>
      </c>
      <c r="B237" t="s">
        <v>18</v>
      </c>
      <c r="C237" t="s">
        <v>7</v>
      </c>
      <c r="D237">
        <v>1231800</v>
      </c>
    </row>
    <row r="238" spans="1:4" x14ac:dyDescent="0.25">
      <c r="A238" s="2">
        <v>40513</v>
      </c>
      <c r="B238" t="s">
        <v>18</v>
      </c>
      <c r="C238" t="s">
        <v>6</v>
      </c>
      <c r="D238">
        <v>3472700</v>
      </c>
    </row>
    <row r="239" spans="1:4" x14ac:dyDescent="0.25">
      <c r="A239" s="2">
        <v>40544</v>
      </c>
      <c r="B239" t="s">
        <v>5</v>
      </c>
      <c r="C239" t="s">
        <v>7</v>
      </c>
      <c r="D239">
        <v>2233700</v>
      </c>
    </row>
    <row r="240" spans="1:4" x14ac:dyDescent="0.25">
      <c r="A240" s="2">
        <v>40544</v>
      </c>
      <c r="B240" t="s">
        <v>5</v>
      </c>
      <c r="C240" t="s">
        <v>6</v>
      </c>
      <c r="D240">
        <v>280600</v>
      </c>
    </row>
    <row r="241" spans="1:4" x14ac:dyDescent="0.25">
      <c r="A241" s="2">
        <v>40544</v>
      </c>
      <c r="B241" t="s">
        <v>18</v>
      </c>
      <c r="C241" t="s">
        <v>7</v>
      </c>
      <c r="D241">
        <v>1297200</v>
      </c>
    </row>
    <row r="242" spans="1:4" x14ac:dyDescent="0.25">
      <c r="A242" s="2">
        <v>40544</v>
      </c>
      <c r="B242" t="s">
        <v>18</v>
      </c>
      <c r="C242" t="s">
        <v>6</v>
      </c>
      <c r="D242">
        <v>3495800</v>
      </c>
    </row>
    <row r="243" spans="1:4" x14ac:dyDescent="0.25">
      <c r="A243" s="2">
        <v>40575</v>
      </c>
      <c r="B243" t="s">
        <v>5</v>
      </c>
      <c r="C243" t="s">
        <v>7</v>
      </c>
      <c r="D243">
        <v>2177600</v>
      </c>
    </row>
    <row r="244" spans="1:4" x14ac:dyDescent="0.25">
      <c r="A244" s="2">
        <v>40575</v>
      </c>
      <c r="B244" t="s">
        <v>5</v>
      </c>
      <c r="C244" t="s">
        <v>6</v>
      </c>
      <c r="D244">
        <v>273700</v>
      </c>
    </row>
    <row r="245" spans="1:4" x14ac:dyDescent="0.25">
      <c r="A245" s="2">
        <v>40575</v>
      </c>
      <c r="B245" t="s">
        <v>18</v>
      </c>
      <c r="C245" t="s">
        <v>7</v>
      </c>
      <c r="D245">
        <v>1354500</v>
      </c>
    </row>
    <row r="246" spans="1:4" x14ac:dyDescent="0.25">
      <c r="A246" s="2">
        <v>40575</v>
      </c>
      <c r="B246" t="s">
        <v>18</v>
      </c>
      <c r="C246" t="s">
        <v>6</v>
      </c>
      <c r="D246">
        <v>3513900</v>
      </c>
    </row>
    <row r="247" spans="1:4" x14ac:dyDescent="0.25">
      <c r="A247" s="2">
        <v>40603</v>
      </c>
      <c r="B247" t="s">
        <v>5</v>
      </c>
      <c r="C247" t="s">
        <v>7</v>
      </c>
      <c r="D247">
        <v>2123400</v>
      </c>
    </row>
    <row r="248" spans="1:4" x14ac:dyDescent="0.25">
      <c r="A248" s="2">
        <v>40603</v>
      </c>
      <c r="B248" t="s">
        <v>5</v>
      </c>
      <c r="C248" t="s">
        <v>6</v>
      </c>
      <c r="D248">
        <v>265200</v>
      </c>
    </row>
    <row r="249" spans="1:4" x14ac:dyDescent="0.25">
      <c r="A249" s="2">
        <v>40603</v>
      </c>
      <c r="B249" t="s">
        <v>18</v>
      </c>
      <c r="C249" t="s">
        <v>7</v>
      </c>
      <c r="D249">
        <v>1438800</v>
      </c>
    </row>
    <row r="250" spans="1:4" x14ac:dyDescent="0.25">
      <c r="A250" s="2">
        <v>40603</v>
      </c>
      <c r="B250" t="s">
        <v>18</v>
      </c>
      <c r="C250" t="s">
        <v>6</v>
      </c>
      <c r="D250">
        <v>3557200</v>
      </c>
    </row>
    <row r="251" spans="1:4" x14ac:dyDescent="0.25">
      <c r="A251" s="2">
        <v>40634</v>
      </c>
      <c r="B251" t="s">
        <v>5</v>
      </c>
      <c r="C251" t="s">
        <v>7</v>
      </c>
      <c r="D251">
        <v>2069000</v>
      </c>
    </row>
    <row r="252" spans="1:4" x14ac:dyDescent="0.25">
      <c r="A252" s="2">
        <v>40634</v>
      </c>
      <c r="B252" t="s">
        <v>5</v>
      </c>
      <c r="C252" t="s">
        <v>6</v>
      </c>
      <c r="D252">
        <v>257400</v>
      </c>
    </row>
    <row r="253" spans="1:4" x14ac:dyDescent="0.25">
      <c r="A253" s="2">
        <v>40634</v>
      </c>
      <c r="B253" t="s">
        <v>18</v>
      </c>
      <c r="C253" t="s">
        <v>7</v>
      </c>
      <c r="D253">
        <v>1499500</v>
      </c>
    </row>
    <row r="254" spans="1:4" x14ac:dyDescent="0.25">
      <c r="A254" s="2">
        <v>40634</v>
      </c>
      <c r="B254" t="s">
        <v>18</v>
      </c>
      <c r="C254" t="s">
        <v>6</v>
      </c>
      <c r="D254">
        <v>3591400</v>
      </c>
    </row>
    <row r="255" spans="1:4" x14ac:dyDescent="0.25">
      <c r="A255" s="2">
        <v>40664</v>
      </c>
      <c r="B255" t="s">
        <v>5</v>
      </c>
      <c r="C255" t="s">
        <v>7</v>
      </c>
      <c r="D255">
        <v>2031000</v>
      </c>
    </row>
    <row r="256" spans="1:4" x14ac:dyDescent="0.25">
      <c r="A256" s="2">
        <v>40664</v>
      </c>
      <c r="B256" t="s">
        <v>5</v>
      </c>
      <c r="C256" t="s">
        <v>6</v>
      </c>
      <c r="D256">
        <v>249800</v>
      </c>
    </row>
    <row r="257" spans="1:4" x14ac:dyDescent="0.25">
      <c r="A257" s="2">
        <v>40664</v>
      </c>
      <c r="B257" t="s">
        <v>18</v>
      </c>
      <c r="C257" t="s">
        <v>7</v>
      </c>
      <c r="D257">
        <v>1559400</v>
      </c>
    </row>
    <row r="258" spans="1:4" x14ac:dyDescent="0.25">
      <c r="A258" s="2">
        <v>40664</v>
      </c>
      <c r="B258" t="s">
        <v>18</v>
      </c>
      <c r="C258" t="s">
        <v>6</v>
      </c>
      <c r="D258">
        <v>3627500</v>
      </c>
    </row>
    <row r="259" spans="1:4" x14ac:dyDescent="0.25">
      <c r="A259" s="2">
        <v>40695</v>
      </c>
      <c r="B259" t="s">
        <v>5</v>
      </c>
      <c r="C259" t="s">
        <v>7</v>
      </c>
      <c r="D259">
        <v>1998800</v>
      </c>
    </row>
    <row r="260" spans="1:4" x14ac:dyDescent="0.25">
      <c r="A260" s="2">
        <v>40695</v>
      </c>
      <c r="B260" t="s">
        <v>5</v>
      </c>
      <c r="C260" t="s">
        <v>6</v>
      </c>
      <c r="D260">
        <v>242300</v>
      </c>
    </row>
    <row r="261" spans="1:4" x14ac:dyDescent="0.25">
      <c r="A261" s="2">
        <v>40695</v>
      </c>
      <c r="B261" t="s">
        <v>18</v>
      </c>
      <c r="C261" t="s">
        <v>7</v>
      </c>
      <c r="D261">
        <v>1626200</v>
      </c>
    </row>
    <row r="262" spans="1:4" x14ac:dyDescent="0.25">
      <c r="A262" s="2">
        <v>40695</v>
      </c>
      <c r="B262" t="s">
        <v>18</v>
      </c>
      <c r="C262" t="s">
        <v>6</v>
      </c>
      <c r="D262">
        <v>3669700</v>
      </c>
    </row>
    <row r="263" spans="1:4" x14ac:dyDescent="0.25">
      <c r="A263" s="2">
        <v>40725</v>
      </c>
      <c r="B263" t="s">
        <v>5</v>
      </c>
      <c r="C263" t="s">
        <v>7</v>
      </c>
      <c r="D263">
        <v>1967400</v>
      </c>
    </row>
    <row r="264" spans="1:4" x14ac:dyDescent="0.25">
      <c r="A264" s="2">
        <v>40725</v>
      </c>
      <c r="B264" t="s">
        <v>5</v>
      </c>
      <c r="C264" t="s">
        <v>6</v>
      </c>
      <c r="D264">
        <v>235500</v>
      </c>
    </row>
    <row r="265" spans="1:4" x14ac:dyDescent="0.25">
      <c r="A265" s="2">
        <v>40725</v>
      </c>
      <c r="B265" t="s">
        <v>18</v>
      </c>
      <c r="C265" t="s">
        <v>7</v>
      </c>
      <c r="D265">
        <v>1688800</v>
      </c>
    </row>
    <row r="266" spans="1:4" x14ac:dyDescent="0.25">
      <c r="A266" s="2">
        <v>40725</v>
      </c>
      <c r="B266" t="s">
        <v>18</v>
      </c>
      <c r="C266" t="s">
        <v>6</v>
      </c>
      <c r="D266">
        <v>3697900</v>
      </c>
    </row>
    <row r="267" spans="1:4" x14ac:dyDescent="0.25">
      <c r="A267" s="2">
        <v>40756</v>
      </c>
      <c r="B267" t="s">
        <v>5</v>
      </c>
      <c r="C267" t="s">
        <v>7</v>
      </c>
      <c r="D267">
        <v>1928900</v>
      </c>
    </row>
    <row r="268" spans="1:4" x14ac:dyDescent="0.25">
      <c r="A268" s="2">
        <v>40756</v>
      </c>
      <c r="B268" t="s">
        <v>5</v>
      </c>
      <c r="C268" t="s">
        <v>6</v>
      </c>
      <c r="D268">
        <v>233100</v>
      </c>
    </row>
    <row r="269" spans="1:4" x14ac:dyDescent="0.25">
      <c r="A269" s="2">
        <v>40756</v>
      </c>
      <c r="B269" t="s">
        <v>18</v>
      </c>
      <c r="C269" t="s">
        <v>7</v>
      </c>
      <c r="D269">
        <v>1745500</v>
      </c>
    </row>
    <row r="270" spans="1:4" x14ac:dyDescent="0.25">
      <c r="A270" s="2">
        <v>40756</v>
      </c>
      <c r="B270" t="s">
        <v>18</v>
      </c>
      <c r="C270" t="s">
        <v>6</v>
      </c>
      <c r="D270">
        <v>3719300</v>
      </c>
    </row>
    <row r="271" spans="1:4" x14ac:dyDescent="0.25">
      <c r="A271" s="2">
        <v>40787</v>
      </c>
      <c r="B271" t="s">
        <v>5</v>
      </c>
      <c r="C271" t="s">
        <v>7</v>
      </c>
      <c r="D271">
        <v>1891800</v>
      </c>
    </row>
    <row r="272" spans="1:4" x14ac:dyDescent="0.25">
      <c r="A272" s="2">
        <v>40787</v>
      </c>
      <c r="B272" t="s">
        <v>5</v>
      </c>
      <c r="C272" t="s">
        <v>6</v>
      </c>
      <c r="D272">
        <v>226600</v>
      </c>
    </row>
    <row r="273" spans="1:4" x14ac:dyDescent="0.25">
      <c r="A273" s="2">
        <v>40787</v>
      </c>
      <c r="B273" t="s">
        <v>18</v>
      </c>
      <c r="C273" t="s">
        <v>7</v>
      </c>
      <c r="D273">
        <v>1807800</v>
      </c>
    </row>
    <row r="274" spans="1:4" x14ac:dyDescent="0.25">
      <c r="A274" s="2">
        <v>40787</v>
      </c>
      <c r="B274" t="s">
        <v>18</v>
      </c>
      <c r="C274" t="s">
        <v>6</v>
      </c>
      <c r="D274">
        <v>3741300</v>
      </c>
    </row>
    <row r="275" spans="1:4" x14ac:dyDescent="0.25">
      <c r="A275" s="2">
        <v>40817</v>
      </c>
      <c r="B275" t="s">
        <v>5</v>
      </c>
      <c r="C275" t="s">
        <v>7</v>
      </c>
      <c r="D275">
        <v>1857000</v>
      </c>
    </row>
    <row r="276" spans="1:4" x14ac:dyDescent="0.25">
      <c r="A276" s="2">
        <v>40817</v>
      </c>
      <c r="B276" t="s">
        <v>5</v>
      </c>
      <c r="C276" t="s">
        <v>6</v>
      </c>
      <c r="D276">
        <v>218400</v>
      </c>
    </row>
    <row r="277" spans="1:4" x14ac:dyDescent="0.25">
      <c r="A277" s="2">
        <v>40817</v>
      </c>
      <c r="B277" t="s">
        <v>18</v>
      </c>
      <c r="C277" t="s">
        <v>7</v>
      </c>
      <c r="D277">
        <v>1859000</v>
      </c>
    </row>
    <row r="278" spans="1:4" x14ac:dyDescent="0.25">
      <c r="A278" s="2">
        <v>40817</v>
      </c>
      <c r="B278" t="s">
        <v>18</v>
      </c>
      <c r="C278" t="s">
        <v>6</v>
      </c>
      <c r="D278">
        <v>3763400</v>
      </c>
    </row>
    <row r="279" spans="1:4" x14ac:dyDescent="0.25">
      <c r="A279" s="2">
        <v>40848</v>
      </c>
      <c r="B279" t="s">
        <v>5</v>
      </c>
      <c r="C279" t="s">
        <v>7</v>
      </c>
      <c r="D279">
        <v>1822000</v>
      </c>
    </row>
    <row r="280" spans="1:4" x14ac:dyDescent="0.25">
      <c r="A280" s="2">
        <v>40848</v>
      </c>
      <c r="B280" t="s">
        <v>5</v>
      </c>
      <c r="C280" t="s">
        <v>6</v>
      </c>
      <c r="D280">
        <v>211200</v>
      </c>
    </row>
    <row r="281" spans="1:4" x14ac:dyDescent="0.25">
      <c r="A281" s="2">
        <v>40848</v>
      </c>
      <c r="B281" t="s">
        <v>18</v>
      </c>
      <c r="C281" t="s">
        <v>7</v>
      </c>
      <c r="D281">
        <v>1888400</v>
      </c>
    </row>
    <row r="282" spans="1:4" x14ac:dyDescent="0.25">
      <c r="A282" s="2">
        <v>40848</v>
      </c>
      <c r="B282" t="s">
        <v>18</v>
      </c>
      <c r="C282" t="s">
        <v>6</v>
      </c>
      <c r="D282">
        <v>3796400</v>
      </c>
    </row>
    <row r="283" spans="1:4" x14ac:dyDescent="0.25">
      <c r="A283" s="2">
        <v>40878</v>
      </c>
      <c r="B283" t="s">
        <v>5</v>
      </c>
      <c r="C283" t="s">
        <v>7</v>
      </c>
      <c r="D283">
        <v>1795300</v>
      </c>
    </row>
    <row r="284" spans="1:4" x14ac:dyDescent="0.25">
      <c r="A284" s="2">
        <v>40878</v>
      </c>
      <c r="B284" t="s">
        <v>5</v>
      </c>
      <c r="C284" t="s">
        <v>6</v>
      </c>
      <c r="D284">
        <v>204500</v>
      </c>
    </row>
    <row r="285" spans="1:4" x14ac:dyDescent="0.25">
      <c r="A285" s="2">
        <v>40878</v>
      </c>
      <c r="B285" t="s">
        <v>18</v>
      </c>
      <c r="C285" t="s">
        <v>7</v>
      </c>
      <c r="D285">
        <v>1930100</v>
      </c>
    </row>
    <row r="286" spans="1:4" x14ac:dyDescent="0.25">
      <c r="A286" s="2">
        <v>40878</v>
      </c>
      <c r="B286" t="s">
        <v>18</v>
      </c>
      <c r="C286" t="s">
        <v>6</v>
      </c>
      <c r="D286">
        <v>3825300</v>
      </c>
    </row>
    <row r="287" spans="1:4" x14ac:dyDescent="0.25">
      <c r="A287" s="2">
        <v>40909</v>
      </c>
      <c r="B287" t="s">
        <v>5</v>
      </c>
      <c r="C287" t="s">
        <v>7</v>
      </c>
      <c r="D287">
        <v>1764500</v>
      </c>
    </row>
    <row r="288" spans="1:4" x14ac:dyDescent="0.25">
      <c r="A288" s="2">
        <v>40909</v>
      </c>
      <c r="B288" t="s">
        <v>5</v>
      </c>
      <c r="C288" t="s">
        <v>6</v>
      </c>
      <c r="D288">
        <v>198700</v>
      </c>
    </row>
    <row r="289" spans="1:4" x14ac:dyDescent="0.25">
      <c r="A289" s="2">
        <v>40909</v>
      </c>
      <c r="B289" t="s">
        <v>18</v>
      </c>
      <c r="C289" t="s">
        <v>7</v>
      </c>
      <c r="D289">
        <v>1945200</v>
      </c>
    </row>
    <row r="290" spans="1:4" x14ac:dyDescent="0.25">
      <c r="A290" s="2">
        <v>40909</v>
      </c>
      <c r="B290" t="s">
        <v>18</v>
      </c>
      <c r="C290" t="s">
        <v>6</v>
      </c>
      <c r="D290">
        <v>3842300</v>
      </c>
    </row>
    <row r="291" spans="1:4" x14ac:dyDescent="0.25">
      <c r="A291" s="2">
        <v>40940</v>
      </c>
      <c r="B291" t="s">
        <v>5</v>
      </c>
      <c r="C291" t="s">
        <v>7</v>
      </c>
      <c r="D291">
        <v>1726700</v>
      </c>
    </row>
    <row r="292" spans="1:4" x14ac:dyDescent="0.25">
      <c r="A292" s="2">
        <v>40940</v>
      </c>
      <c r="B292" t="s">
        <v>5</v>
      </c>
      <c r="C292" t="s">
        <v>6</v>
      </c>
      <c r="D292">
        <v>193700</v>
      </c>
    </row>
    <row r="293" spans="1:4" x14ac:dyDescent="0.25">
      <c r="A293" s="2">
        <v>40940</v>
      </c>
      <c r="B293" t="s">
        <v>18</v>
      </c>
      <c r="C293" t="s">
        <v>7</v>
      </c>
      <c r="D293">
        <v>1947700</v>
      </c>
    </row>
    <row r="294" spans="1:4" x14ac:dyDescent="0.25">
      <c r="A294" s="2">
        <v>40940</v>
      </c>
      <c r="B294" t="s">
        <v>18</v>
      </c>
      <c r="C294" t="s">
        <v>6</v>
      </c>
      <c r="D294">
        <v>3852400</v>
      </c>
    </row>
    <row r="295" spans="1:4" x14ac:dyDescent="0.25">
      <c r="A295" s="2">
        <v>40969</v>
      </c>
      <c r="B295" t="s">
        <v>5</v>
      </c>
      <c r="C295" t="s">
        <v>7</v>
      </c>
      <c r="D295">
        <v>1687300</v>
      </c>
    </row>
    <row r="296" spans="1:4" x14ac:dyDescent="0.25">
      <c r="A296" s="2">
        <v>40969</v>
      </c>
      <c r="B296" t="s">
        <v>5</v>
      </c>
      <c r="C296" t="s">
        <v>6</v>
      </c>
      <c r="D296">
        <v>189600</v>
      </c>
    </row>
    <row r="297" spans="1:4" x14ac:dyDescent="0.25">
      <c r="A297" s="2">
        <v>40969</v>
      </c>
      <c r="B297" t="s">
        <v>18</v>
      </c>
      <c r="C297" t="s">
        <v>7</v>
      </c>
      <c r="D297">
        <v>2039600</v>
      </c>
    </row>
    <row r="298" spans="1:4" x14ac:dyDescent="0.25">
      <c r="A298" s="2">
        <v>40969</v>
      </c>
      <c r="B298" t="s">
        <v>18</v>
      </c>
      <c r="C298" t="s">
        <v>6</v>
      </c>
      <c r="D298">
        <v>3877800</v>
      </c>
    </row>
    <row r="299" spans="1:4" x14ac:dyDescent="0.25">
      <c r="A299" s="2">
        <v>41000</v>
      </c>
      <c r="B299" t="s">
        <v>5</v>
      </c>
      <c r="C299" t="s">
        <v>7</v>
      </c>
      <c r="D299">
        <v>1656400</v>
      </c>
    </row>
    <row r="300" spans="1:4" x14ac:dyDescent="0.25">
      <c r="A300" s="2">
        <v>41000</v>
      </c>
      <c r="B300" t="s">
        <v>5</v>
      </c>
      <c r="C300" t="s">
        <v>6</v>
      </c>
      <c r="D300">
        <v>186800</v>
      </c>
    </row>
    <row r="301" spans="1:4" x14ac:dyDescent="0.25">
      <c r="A301" s="2">
        <v>41000</v>
      </c>
      <c r="B301" t="s">
        <v>18</v>
      </c>
      <c r="C301" t="s">
        <v>7</v>
      </c>
      <c r="D301">
        <v>2063700</v>
      </c>
    </row>
    <row r="302" spans="1:4" x14ac:dyDescent="0.25">
      <c r="A302" s="2">
        <v>41000</v>
      </c>
      <c r="B302" t="s">
        <v>18</v>
      </c>
      <c r="C302" t="s">
        <v>6</v>
      </c>
      <c r="D302">
        <v>3899900</v>
      </c>
    </row>
    <row r="303" spans="1:4" x14ac:dyDescent="0.25">
      <c r="A303" s="2">
        <v>41030</v>
      </c>
      <c r="B303" t="s">
        <v>5</v>
      </c>
      <c r="C303" t="s">
        <v>7</v>
      </c>
      <c r="D303">
        <v>1630600</v>
      </c>
    </row>
    <row r="304" spans="1:4" x14ac:dyDescent="0.25">
      <c r="A304" s="2">
        <v>41030</v>
      </c>
      <c r="B304" t="s">
        <v>5</v>
      </c>
      <c r="C304" t="s">
        <v>6</v>
      </c>
      <c r="D304">
        <v>181700</v>
      </c>
    </row>
    <row r="305" spans="1:4" x14ac:dyDescent="0.25">
      <c r="A305" s="2">
        <v>41030</v>
      </c>
      <c r="B305" t="s">
        <v>18</v>
      </c>
      <c r="C305" t="s">
        <v>7</v>
      </c>
      <c r="D305">
        <v>2082000</v>
      </c>
    </row>
    <row r="306" spans="1:4" x14ac:dyDescent="0.25">
      <c r="A306" s="2">
        <v>41030</v>
      </c>
      <c r="B306" t="s">
        <v>18</v>
      </c>
      <c r="C306" t="s">
        <v>6</v>
      </c>
      <c r="D306">
        <v>3913900</v>
      </c>
    </row>
    <row r="307" spans="1:4" x14ac:dyDescent="0.25">
      <c r="A307" s="2">
        <v>41061</v>
      </c>
      <c r="B307" t="s">
        <v>5</v>
      </c>
      <c r="C307" t="s">
        <v>7</v>
      </c>
      <c r="D307">
        <v>1603700</v>
      </c>
    </row>
    <row r="308" spans="1:4" x14ac:dyDescent="0.25">
      <c r="A308" s="2">
        <v>41061</v>
      </c>
      <c r="B308" t="s">
        <v>5</v>
      </c>
      <c r="C308" t="s">
        <v>6</v>
      </c>
      <c r="D308">
        <v>176700</v>
      </c>
    </row>
    <row r="309" spans="1:4" x14ac:dyDescent="0.25">
      <c r="A309" s="2">
        <v>41061</v>
      </c>
      <c r="B309" t="s">
        <v>18</v>
      </c>
      <c r="C309" t="s">
        <v>7</v>
      </c>
      <c r="D309">
        <v>2117200</v>
      </c>
    </row>
    <row r="310" spans="1:4" x14ac:dyDescent="0.25">
      <c r="A310" s="2">
        <v>41061</v>
      </c>
      <c r="B310" t="s">
        <v>18</v>
      </c>
      <c r="C310" t="s">
        <v>6</v>
      </c>
      <c r="D310">
        <v>3948500</v>
      </c>
    </row>
    <row r="311" spans="1:4" x14ac:dyDescent="0.25">
      <c r="A311" s="2">
        <v>41091</v>
      </c>
      <c r="B311" t="s">
        <v>5</v>
      </c>
      <c r="C311" t="s">
        <v>7</v>
      </c>
      <c r="D311">
        <v>1561600</v>
      </c>
    </row>
    <row r="312" spans="1:4" x14ac:dyDescent="0.25">
      <c r="A312" s="2">
        <v>41091</v>
      </c>
      <c r="B312" t="s">
        <v>5</v>
      </c>
      <c r="C312" t="s">
        <v>6</v>
      </c>
      <c r="D312">
        <v>171800</v>
      </c>
    </row>
    <row r="313" spans="1:4" x14ac:dyDescent="0.25">
      <c r="A313" s="2">
        <v>41091</v>
      </c>
      <c r="B313" t="s">
        <v>18</v>
      </c>
      <c r="C313" t="s">
        <v>7</v>
      </c>
      <c r="D313">
        <v>2173300</v>
      </c>
    </row>
    <row r="314" spans="1:4" x14ac:dyDescent="0.25">
      <c r="A314" s="2">
        <v>41091</v>
      </c>
      <c r="B314" t="s">
        <v>18</v>
      </c>
      <c r="C314" t="s">
        <v>6</v>
      </c>
      <c r="D314">
        <v>3973300</v>
      </c>
    </row>
    <row r="315" spans="1:4" x14ac:dyDescent="0.25">
      <c r="A315" s="2">
        <v>41122</v>
      </c>
      <c r="B315" t="s">
        <v>5</v>
      </c>
      <c r="C315" t="s">
        <v>7</v>
      </c>
      <c r="D315">
        <v>1547300</v>
      </c>
    </row>
    <row r="316" spans="1:4" x14ac:dyDescent="0.25">
      <c r="A316" s="2">
        <v>41122</v>
      </c>
      <c r="B316" t="s">
        <v>5</v>
      </c>
      <c r="C316" t="s">
        <v>6</v>
      </c>
      <c r="D316">
        <v>168100</v>
      </c>
    </row>
    <row r="317" spans="1:4" x14ac:dyDescent="0.25">
      <c r="A317" s="2">
        <v>41122</v>
      </c>
      <c r="B317" t="s">
        <v>18</v>
      </c>
      <c r="C317" t="s">
        <v>7</v>
      </c>
      <c r="D317">
        <v>2194900</v>
      </c>
    </row>
    <row r="318" spans="1:4" x14ac:dyDescent="0.25">
      <c r="A318" s="2">
        <v>41122</v>
      </c>
      <c r="B318" t="s">
        <v>18</v>
      </c>
      <c r="C318" t="s">
        <v>6</v>
      </c>
      <c r="D318">
        <v>3987400</v>
      </c>
    </row>
    <row r="319" spans="1:4" x14ac:dyDescent="0.25">
      <c r="A319" s="2">
        <v>41153</v>
      </c>
      <c r="B319" t="s">
        <v>5</v>
      </c>
      <c r="C319" t="s">
        <v>7</v>
      </c>
      <c r="D319">
        <v>1517900</v>
      </c>
    </row>
    <row r="320" spans="1:4" x14ac:dyDescent="0.25">
      <c r="A320" s="2">
        <v>41153</v>
      </c>
      <c r="B320" t="s">
        <v>5</v>
      </c>
      <c r="C320" t="s">
        <v>6</v>
      </c>
      <c r="D320">
        <v>165000</v>
      </c>
    </row>
    <row r="321" spans="1:4" x14ac:dyDescent="0.25">
      <c r="A321" s="2">
        <v>41153</v>
      </c>
      <c r="B321" t="s">
        <v>18</v>
      </c>
      <c r="C321" t="s">
        <v>7</v>
      </c>
      <c r="D321">
        <v>2232800</v>
      </c>
    </row>
    <row r="322" spans="1:4" x14ac:dyDescent="0.25">
      <c r="A322" s="2">
        <v>41153</v>
      </c>
      <c r="B322" t="s">
        <v>18</v>
      </c>
      <c r="C322" t="s">
        <v>6</v>
      </c>
      <c r="D322">
        <v>3987900</v>
      </c>
    </row>
    <row r="323" spans="1:4" x14ac:dyDescent="0.25">
      <c r="A323" s="2">
        <v>41183</v>
      </c>
      <c r="B323" t="s">
        <v>5</v>
      </c>
      <c r="C323" t="s">
        <v>7</v>
      </c>
      <c r="D323">
        <v>1485400</v>
      </c>
    </row>
    <row r="324" spans="1:4" x14ac:dyDescent="0.25">
      <c r="A324" s="2">
        <v>41183</v>
      </c>
      <c r="B324" t="s">
        <v>5</v>
      </c>
      <c r="C324" t="s">
        <v>6</v>
      </c>
      <c r="D324">
        <v>161500</v>
      </c>
    </row>
    <row r="325" spans="1:4" x14ac:dyDescent="0.25">
      <c r="A325" s="2">
        <v>41183</v>
      </c>
      <c r="B325" t="s">
        <v>18</v>
      </c>
      <c r="C325" t="s">
        <v>7</v>
      </c>
      <c r="D325">
        <v>2268200</v>
      </c>
    </row>
    <row r="326" spans="1:4" x14ac:dyDescent="0.25">
      <c r="A326" s="2">
        <v>41183</v>
      </c>
      <c r="B326" t="s">
        <v>18</v>
      </c>
      <c r="C326" t="s">
        <v>6</v>
      </c>
      <c r="D326">
        <v>4042000</v>
      </c>
    </row>
    <row r="327" spans="1:4" x14ac:dyDescent="0.25">
      <c r="A327" s="2">
        <v>41214</v>
      </c>
      <c r="B327" t="s">
        <v>5</v>
      </c>
      <c r="C327" t="s">
        <v>7</v>
      </c>
      <c r="D327">
        <v>1453500</v>
      </c>
    </row>
    <row r="328" spans="1:4" x14ac:dyDescent="0.25">
      <c r="A328" s="2">
        <v>41214</v>
      </c>
      <c r="B328" t="s">
        <v>5</v>
      </c>
      <c r="C328" t="s">
        <v>6</v>
      </c>
      <c r="D328">
        <v>157500</v>
      </c>
    </row>
    <row r="329" spans="1:4" x14ac:dyDescent="0.25">
      <c r="A329" s="2">
        <v>41214</v>
      </c>
      <c r="B329" t="s">
        <v>18</v>
      </c>
      <c r="C329" t="s">
        <v>7</v>
      </c>
      <c r="D329">
        <v>2310700</v>
      </c>
    </row>
    <row r="330" spans="1:4" x14ac:dyDescent="0.25">
      <c r="A330" s="2">
        <v>41214</v>
      </c>
      <c r="B330" t="s">
        <v>18</v>
      </c>
      <c r="C330" t="s">
        <v>6</v>
      </c>
      <c r="D330">
        <v>4073700</v>
      </c>
    </row>
    <row r="331" spans="1:4" x14ac:dyDescent="0.25">
      <c r="A331" s="2">
        <v>41244</v>
      </c>
      <c r="B331" t="s">
        <v>5</v>
      </c>
      <c r="C331" t="s">
        <v>7</v>
      </c>
      <c r="D331">
        <v>1429700</v>
      </c>
    </row>
    <row r="332" spans="1:4" x14ac:dyDescent="0.25">
      <c r="A332" s="2">
        <v>41244</v>
      </c>
      <c r="B332" t="s">
        <v>5</v>
      </c>
      <c r="C332" t="s">
        <v>6</v>
      </c>
      <c r="D332">
        <v>152700</v>
      </c>
    </row>
    <row r="333" spans="1:4" x14ac:dyDescent="0.25">
      <c r="A333" s="2">
        <v>41244</v>
      </c>
      <c r="B333" t="s">
        <v>18</v>
      </c>
      <c r="C333" t="s">
        <v>7</v>
      </c>
      <c r="D333">
        <v>2367400</v>
      </c>
    </row>
    <row r="334" spans="1:4" x14ac:dyDescent="0.25">
      <c r="A334" s="2">
        <v>41244</v>
      </c>
      <c r="B334" t="s">
        <v>18</v>
      </c>
      <c r="C334" t="s">
        <v>6</v>
      </c>
      <c r="D334">
        <v>4113200</v>
      </c>
    </row>
    <row r="335" spans="1:4" x14ac:dyDescent="0.25">
      <c r="A335" s="2">
        <v>41275</v>
      </c>
      <c r="B335" t="s">
        <v>5</v>
      </c>
      <c r="C335" t="s">
        <v>7</v>
      </c>
      <c r="D335">
        <v>1396500</v>
      </c>
    </row>
    <row r="336" spans="1:4" x14ac:dyDescent="0.25">
      <c r="A336" s="2">
        <v>41275</v>
      </c>
      <c r="B336" t="s">
        <v>5</v>
      </c>
      <c r="C336" t="s">
        <v>6</v>
      </c>
      <c r="D336">
        <v>149400</v>
      </c>
    </row>
    <row r="337" spans="1:4" x14ac:dyDescent="0.25">
      <c r="A337" s="2">
        <v>41275</v>
      </c>
      <c r="B337" t="s">
        <v>18</v>
      </c>
      <c r="C337" t="s">
        <v>7</v>
      </c>
      <c r="D337">
        <v>2428500</v>
      </c>
    </row>
    <row r="338" spans="1:4" x14ac:dyDescent="0.25">
      <c r="A338" s="2">
        <v>41275</v>
      </c>
      <c r="B338" t="s">
        <v>18</v>
      </c>
      <c r="C338" t="s">
        <v>6</v>
      </c>
      <c r="D338">
        <v>4138400</v>
      </c>
    </row>
    <row r="339" spans="1:4" x14ac:dyDescent="0.25">
      <c r="A339" s="2">
        <v>41306</v>
      </c>
      <c r="B339" t="s">
        <v>5</v>
      </c>
      <c r="C339" t="s">
        <v>7</v>
      </c>
      <c r="D339">
        <v>1362500</v>
      </c>
    </row>
    <row r="340" spans="1:4" x14ac:dyDescent="0.25">
      <c r="A340" s="2">
        <v>41306</v>
      </c>
      <c r="B340" t="s">
        <v>5</v>
      </c>
      <c r="C340" t="s">
        <v>6</v>
      </c>
      <c r="D340">
        <v>147600</v>
      </c>
    </row>
    <row r="341" spans="1:4" x14ac:dyDescent="0.25">
      <c r="A341" s="2">
        <v>41306</v>
      </c>
      <c r="B341" t="s">
        <v>18</v>
      </c>
      <c r="C341" t="s">
        <v>7</v>
      </c>
      <c r="D341">
        <v>2472000</v>
      </c>
    </row>
    <row r="342" spans="1:4" x14ac:dyDescent="0.25">
      <c r="A342" s="2">
        <v>41306</v>
      </c>
      <c r="B342" t="s">
        <v>18</v>
      </c>
      <c r="C342" t="s">
        <v>6</v>
      </c>
      <c r="D342">
        <v>4148000</v>
      </c>
    </row>
    <row r="343" spans="1:4" x14ac:dyDescent="0.25">
      <c r="A343" s="2">
        <v>41334</v>
      </c>
      <c r="B343" t="s">
        <v>5</v>
      </c>
      <c r="C343" t="s">
        <v>7</v>
      </c>
      <c r="D343">
        <v>1320400</v>
      </c>
    </row>
    <row r="344" spans="1:4" x14ac:dyDescent="0.25">
      <c r="A344" s="2">
        <v>41334</v>
      </c>
      <c r="B344" t="s">
        <v>5</v>
      </c>
      <c r="C344" t="s">
        <v>6</v>
      </c>
      <c r="D344">
        <v>145100</v>
      </c>
    </row>
    <row r="345" spans="1:4" x14ac:dyDescent="0.25">
      <c r="A345" s="2">
        <v>41334</v>
      </c>
      <c r="B345" t="s">
        <v>18</v>
      </c>
      <c r="C345" t="s">
        <v>7</v>
      </c>
      <c r="D345">
        <v>2432400</v>
      </c>
    </row>
    <row r="346" spans="1:4" x14ac:dyDescent="0.25">
      <c r="A346" s="2">
        <v>41334</v>
      </c>
      <c r="B346" t="s">
        <v>18</v>
      </c>
      <c r="C346" t="s">
        <v>6</v>
      </c>
      <c r="D346">
        <v>3288700</v>
      </c>
    </row>
    <row r="347" spans="1:4" x14ac:dyDescent="0.25">
      <c r="A347" s="2">
        <v>41334</v>
      </c>
      <c r="B347" t="s">
        <v>114</v>
      </c>
      <c r="C347" t="s">
        <v>19</v>
      </c>
      <c r="D347">
        <v>881100</v>
      </c>
    </row>
    <row r="348" spans="1:4" x14ac:dyDescent="0.25">
      <c r="A348" s="2">
        <v>41365</v>
      </c>
      <c r="B348" t="s">
        <v>5</v>
      </c>
      <c r="C348" t="s">
        <v>7</v>
      </c>
      <c r="D348">
        <v>1289300</v>
      </c>
    </row>
    <row r="349" spans="1:4" x14ac:dyDescent="0.25">
      <c r="A349" s="2">
        <v>41365</v>
      </c>
      <c r="B349" t="s">
        <v>5</v>
      </c>
      <c r="C349" t="s">
        <v>6</v>
      </c>
      <c r="D349">
        <v>140400</v>
      </c>
    </row>
    <row r="350" spans="1:4" x14ac:dyDescent="0.25">
      <c r="A350" s="2">
        <v>41365</v>
      </c>
      <c r="B350" t="s">
        <v>18</v>
      </c>
      <c r="C350" t="s">
        <v>7</v>
      </c>
      <c r="D350">
        <v>2499600</v>
      </c>
    </row>
    <row r="351" spans="1:4" x14ac:dyDescent="0.25">
      <c r="A351" s="2">
        <v>41365</v>
      </c>
      <c r="B351" t="s">
        <v>18</v>
      </c>
      <c r="C351" t="s">
        <v>6</v>
      </c>
      <c r="D351">
        <v>3216200</v>
      </c>
    </row>
    <row r="352" spans="1:4" x14ac:dyDescent="0.25">
      <c r="A352" s="2">
        <v>41365</v>
      </c>
      <c r="B352" t="s">
        <v>114</v>
      </c>
      <c r="C352" t="s">
        <v>19</v>
      </c>
      <c r="D352">
        <v>17000000</v>
      </c>
    </row>
    <row r="353" spans="1:4" x14ac:dyDescent="0.25">
      <c r="A353" s="2">
        <v>41395</v>
      </c>
      <c r="B353" t="s">
        <v>5</v>
      </c>
      <c r="C353" t="s">
        <v>7</v>
      </c>
      <c r="D353">
        <v>1254000</v>
      </c>
    </row>
    <row r="354" spans="1:4" x14ac:dyDescent="0.25">
      <c r="A354" s="2">
        <v>41395</v>
      </c>
      <c r="B354" t="s">
        <v>5</v>
      </c>
      <c r="C354" t="s">
        <v>6</v>
      </c>
      <c r="D354">
        <v>137200</v>
      </c>
    </row>
    <row r="355" spans="1:4" x14ac:dyDescent="0.25">
      <c r="A355" s="2">
        <v>41395</v>
      </c>
      <c r="B355" t="s">
        <v>18</v>
      </c>
      <c r="C355" t="s">
        <v>7</v>
      </c>
      <c r="D355">
        <v>2548100</v>
      </c>
    </row>
    <row r="356" spans="1:4" x14ac:dyDescent="0.25">
      <c r="A356" s="2">
        <v>41395</v>
      </c>
      <c r="B356" t="s">
        <v>18</v>
      </c>
      <c r="C356" t="s">
        <v>6</v>
      </c>
      <c r="D356">
        <v>3099600</v>
      </c>
    </row>
    <row r="357" spans="1:4" x14ac:dyDescent="0.25">
      <c r="A357" s="2">
        <v>41395</v>
      </c>
      <c r="B357" t="s">
        <v>114</v>
      </c>
      <c r="C357" t="s">
        <v>19</v>
      </c>
      <c r="D357">
        <v>1105700</v>
      </c>
    </row>
    <row r="358" spans="1:4" x14ac:dyDescent="0.25">
      <c r="A358" s="2">
        <v>41426</v>
      </c>
      <c r="B358" t="s">
        <v>5</v>
      </c>
      <c r="C358" t="s">
        <v>7</v>
      </c>
      <c r="D358">
        <v>1219400</v>
      </c>
    </row>
    <row r="359" spans="1:4" x14ac:dyDescent="0.25">
      <c r="A359" s="2">
        <v>41426</v>
      </c>
      <c r="B359" t="s">
        <v>5</v>
      </c>
      <c r="C359" t="s">
        <v>6</v>
      </c>
      <c r="D359">
        <v>133300</v>
      </c>
    </row>
    <row r="360" spans="1:4" x14ac:dyDescent="0.25">
      <c r="A360" s="2">
        <v>41426</v>
      </c>
      <c r="B360" t="s">
        <v>18</v>
      </c>
      <c r="C360" t="s">
        <v>7</v>
      </c>
      <c r="D360">
        <v>2606900</v>
      </c>
    </row>
    <row r="361" spans="1:4" x14ac:dyDescent="0.25">
      <c r="A361" s="2">
        <v>41426</v>
      </c>
      <c r="B361" t="s">
        <v>18</v>
      </c>
      <c r="C361" t="s">
        <v>6</v>
      </c>
      <c r="D361">
        <v>3007800</v>
      </c>
    </row>
    <row r="362" spans="1:4" x14ac:dyDescent="0.25">
      <c r="A362" s="2">
        <v>41426</v>
      </c>
      <c r="B362" t="s">
        <v>114</v>
      </c>
      <c r="C362" t="s">
        <v>19</v>
      </c>
      <c r="D362">
        <v>1228800</v>
      </c>
    </row>
    <row r="363" spans="1:4" x14ac:dyDescent="0.25">
      <c r="A363" s="2">
        <v>41456</v>
      </c>
      <c r="B363" t="s">
        <v>5</v>
      </c>
      <c r="C363" t="s">
        <v>7</v>
      </c>
      <c r="D363">
        <v>1185000</v>
      </c>
    </row>
    <row r="364" spans="1:4" x14ac:dyDescent="0.25">
      <c r="A364" s="2">
        <v>41456</v>
      </c>
      <c r="B364" t="s">
        <v>5</v>
      </c>
      <c r="C364" t="s">
        <v>6</v>
      </c>
      <c r="D364">
        <v>130400</v>
      </c>
    </row>
    <row r="365" spans="1:4" x14ac:dyDescent="0.25">
      <c r="A365" s="2">
        <v>41456</v>
      </c>
      <c r="B365" t="s">
        <v>18</v>
      </c>
      <c r="C365" t="s">
        <v>7</v>
      </c>
      <c r="D365">
        <v>2677500</v>
      </c>
    </row>
    <row r="366" spans="1:4" x14ac:dyDescent="0.25">
      <c r="A366" s="2">
        <v>41456</v>
      </c>
      <c r="B366" t="s">
        <v>18</v>
      </c>
      <c r="C366" t="s">
        <v>6</v>
      </c>
      <c r="D366">
        <v>2917200</v>
      </c>
    </row>
    <row r="367" spans="1:4" x14ac:dyDescent="0.25">
      <c r="A367" s="2">
        <v>41456</v>
      </c>
      <c r="B367" t="s">
        <v>114</v>
      </c>
      <c r="C367" t="s">
        <v>19</v>
      </c>
      <c r="D367">
        <v>1348400</v>
      </c>
    </row>
    <row r="368" spans="1:4" x14ac:dyDescent="0.25">
      <c r="A368" s="2">
        <v>41487</v>
      </c>
      <c r="B368" t="s">
        <v>5</v>
      </c>
      <c r="C368" t="s">
        <v>7</v>
      </c>
      <c r="D368">
        <v>1149000</v>
      </c>
    </row>
    <row r="369" spans="1:4" x14ac:dyDescent="0.25">
      <c r="A369" s="2">
        <v>41487</v>
      </c>
      <c r="B369" t="s">
        <v>5</v>
      </c>
      <c r="C369" t="s">
        <v>6</v>
      </c>
      <c r="D369">
        <v>127900</v>
      </c>
    </row>
    <row r="370" spans="1:4" x14ac:dyDescent="0.25">
      <c r="A370" s="2">
        <v>41487</v>
      </c>
      <c r="B370" t="s">
        <v>18</v>
      </c>
      <c r="C370" t="s">
        <v>7</v>
      </c>
      <c r="D370">
        <v>2734300</v>
      </c>
    </row>
    <row r="371" spans="1:4" x14ac:dyDescent="0.25">
      <c r="A371" s="2">
        <v>41487</v>
      </c>
      <c r="B371" t="s">
        <v>18</v>
      </c>
      <c r="C371" t="s">
        <v>6</v>
      </c>
      <c r="D371">
        <v>2844800</v>
      </c>
    </row>
    <row r="372" spans="1:4" x14ac:dyDescent="0.25">
      <c r="A372" s="2">
        <v>41487</v>
      </c>
      <c r="B372" t="s">
        <v>114</v>
      </c>
      <c r="C372" t="s">
        <v>19</v>
      </c>
      <c r="D372">
        <v>9000000</v>
      </c>
    </row>
    <row r="373" spans="1:4" x14ac:dyDescent="0.25">
      <c r="A373" s="2">
        <v>41518</v>
      </c>
      <c r="B373" t="s">
        <v>5</v>
      </c>
      <c r="C373" t="s">
        <v>7</v>
      </c>
      <c r="D373">
        <v>1104900</v>
      </c>
    </row>
    <row r="374" spans="1:4" x14ac:dyDescent="0.25">
      <c r="A374" s="2">
        <v>41518</v>
      </c>
      <c r="B374" t="s">
        <v>5</v>
      </c>
      <c r="C374" t="s">
        <v>6</v>
      </c>
      <c r="D374">
        <v>126800</v>
      </c>
    </row>
    <row r="375" spans="1:4" x14ac:dyDescent="0.25">
      <c r="A375" s="2">
        <v>41518</v>
      </c>
      <c r="B375" t="s">
        <v>18</v>
      </c>
      <c r="C375" t="s">
        <v>7</v>
      </c>
      <c r="D375">
        <v>2780900</v>
      </c>
    </row>
    <row r="376" spans="1:4" x14ac:dyDescent="0.25">
      <c r="A376" s="2">
        <v>41518</v>
      </c>
      <c r="B376" t="s">
        <v>18</v>
      </c>
      <c r="C376" t="s">
        <v>6</v>
      </c>
      <c r="D376">
        <v>2759000</v>
      </c>
    </row>
    <row r="377" spans="1:4" x14ac:dyDescent="0.25">
      <c r="A377" s="2">
        <v>41518</v>
      </c>
      <c r="B377" t="s">
        <v>114</v>
      </c>
      <c r="C377" t="s">
        <v>19</v>
      </c>
      <c r="D377">
        <v>1572500</v>
      </c>
    </row>
    <row r="378" spans="1:4" x14ac:dyDescent="0.25">
      <c r="A378" s="2">
        <v>41548</v>
      </c>
      <c r="B378" t="s">
        <v>5</v>
      </c>
      <c r="C378" t="s">
        <v>7</v>
      </c>
      <c r="D378">
        <v>1064700</v>
      </c>
    </row>
    <row r="379" spans="1:4" x14ac:dyDescent="0.25">
      <c r="A379" s="2">
        <v>41548</v>
      </c>
      <c r="B379" t="s">
        <v>5</v>
      </c>
      <c r="C379" t="s">
        <v>6</v>
      </c>
      <c r="D379">
        <v>125800</v>
      </c>
    </row>
    <row r="380" spans="1:4" x14ac:dyDescent="0.25">
      <c r="A380" s="2">
        <v>41548</v>
      </c>
      <c r="B380" t="s">
        <v>18</v>
      </c>
      <c r="C380" t="s">
        <v>7</v>
      </c>
      <c r="D380">
        <v>2808300</v>
      </c>
    </row>
    <row r="381" spans="1:4" x14ac:dyDescent="0.25">
      <c r="A381" s="2">
        <v>41548</v>
      </c>
      <c r="B381" t="s">
        <v>18</v>
      </c>
      <c r="C381" t="s">
        <v>6</v>
      </c>
      <c r="D381">
        <v>2658300</v>
      </c>
    </row>
    <row r="382" spans="1:4" x14ac:dyDescent="0.25">
      <c r="A382" s="2">
        <v>41548</v>
      </c>
      <c r="B382" t="s">
        <v>114</v>
      </c>
      <c r="C382" t="s">
        <v>19</v>
      </c>
      <c r="D382">
        <v>1687200</v>
      </c>
    </row>
    <row r="383" spans="1:4" x14ac:dyDescent="0.25">
      <c r="A383" s="2">
        <v>41579</v>
      </c>
      <c r="B383" t="s">
        <v>5</v>
      </c>
      <c r="C383" t="s">
        <v>7</v>
      </c>
      <c r="D383">
        <v>1029900</v>
      </c>
    </row>
    <row r="384" spans="1:4" x14ac:dyDescent="0.25">
      <c r="A384" s="2">
        <v>41579</v>
      </c>
      <c r="B384" t="s">
        <v>5</v>
      </c>
      <c r="C384" t="s">
        <v>6</v>
      </c>
      <c r="D384">
        <v>121600</v>
      </c>
    </row>
    <row r="385" spans="1:4" x14ac:dyDescent="0.25">
      <c r="A385" s="2">
        <v>41579</v>
      </c>
      <c r="B385" t="s">
        <v>18</v>
      </c>
      <c r="C385" t="s">
        <v>7</v>
      </c>
      <c r="D385">
        <v>2830000</v>
      </c>
    </row>
    <row r="386" spans="1:4" x14ac:dyDescent="0.25">
      <c r="A386" s="2">
        <v>41579</v>
      </c>
      <c r="B386" t="s">
        <v>18</v>
      </c>
      <c r="C386" t="s">
        <v>6</v>
      </c>
      <c r="D386">
        <v>2533300</v>
      </c>
    </row>
    <row r="387" spans="1:4" x14ac:dyDescent="0.25">
      <c r="A387" s="2">
        <v>41579</v>
      </c>
      <c r="B387" t="s">
        <v>114</v>
      </c>
      <c r="C387" t="s">
        <v>19</v>
      </c>
      <c r="D387">
        <v>1875100</v>
      </c>
    </row>
    <row r="388" spans="1:4" x14ac:dyDescent="0.25">
      <c r="A388" s="2">
        <v>41609</v>
      </c>
      <c r="B388" t="s">
        <v>5</v>
      </c>
      <c r="C388" t="s">
        <v>7</v>
      </c>
      <c r="D388">
        <v>993700</v>
      </c>
    </row>
    <row r="389" spans="1:4" x14ac:dyDescent="0.25">
      <c r="A389" s="2">
        <v>41609</v>
      </c>
      <c r="B389" t="s">
        <v>5</v>
      </c>
      <c r="C389" t="s">
        <v>6</v>
      </c>
      <c r="D389">
        <v>117800</v>
      </c>
    </row>
    <row r="390" spans="1:4" x14ac:dyDescent="0.25">
      <c r="A390" s="2">
        <v>41609</v>
      </c>
      <c r="B390" t="s">
        <v>18</v>
      </c>
      <c r="C390" t="s">
        <v>7</v>
      </c>
      <c r="D390">
        <v>2864400</v>
      </c>
    </row>
    <row r="391" spans="1:4" x14ac:dyDescent="0.25">
      <c r="A391" s="2">
        <v>41609</v>
      </c>
      <c r="B391" t="s">
        <v>18</v>
      </c>
      <c r="C391" t="s">
        <v>6</v>
      </c>
      <c r="D391">
        <v>2393900</v>
      </c>
    </row>
    <row r="392" spans="1:4" x14ac:dyDescent="0.25">
      <c r="A392" s="2">
        <v>41609</v>
      </c>
      <c r="B392" t="s">
        <v>114</v>
      </c>
      <c r="C392" t="s">
        <v>19</v>
      </c>
      <c r="D392">
        <v>2050800</v>
      </c>
    </row>
    <row r="393" spans="1:4" x14ac:dyDescent="0.25">
      <c r="A393" s="2">
        <v>41640</v>
      </c>
      <c r="B393" t="s">
        <v>5</v>
      </c>
      <c r="C393" t="s">
        <v>7</v>
      </c>
      <c r="D393">
        <v>952600</v>
      </c>
    </row>
    <row r="394" spans="1:4" x14ac:dyDescent="0.25">
      <c r="A394" s="2">
        <v>41640</v>
      </c>
      <c r="B394" t="s">
        <v>5</v>
      </c>
      <c r="C394" t="s">
        <v>6</v>
      </c>
      <c r="D394">
        <v>115500</v>
      </c>
    </row>
    <row r="395" spans="1:4" x14ac:dyDescent="0.25">
      <c r="A395" s="2">
        <v>41640</v>
      </c>
      <c r="B395" t="s">
        <v>18</v>
      </c>
      <c r="C395" t="s">
        <v>7</v>
      </c>
      <c r="D395">
        <v>2867400</v>
      </c>
    </row>
    <row r="396" spans="1:4" x14ac:dyDescent="0.25">
      <c r="A396" s="2">
        <v>41640</v>
      </c>
      <c r="B396" t="s">
        <v>18</v>
      </c>
      <c r="C396" t="s">
        <v>6</v>
      </c>
      <c r="D396">
        <v>2296300</v>
      </c>
    </row>
    <row r="397" spans="1:4" x14ac:dyDescent="0.25">
      <c r="A397" s="2">
        <v>41640</v>
      </c>
      <c r="B397" t="s">
        <v>114</v>
      </c>
      <c r="C397" t="s">
        <v>19</v>
      </c>
      <c r="D397">
        <v>2170300</v>
      </c>
    </row>
    <row r="398" spans="1:4" x14ac:dyDescent="0.25">
      <c r="A398" s="2">
        <v>41671</v>
      </c>
      <c r="B398" t="s">
        <v>5</v>
      </c>
      <c r="C398" t="s">
        <v>7</v>
      </c>
      <c r="D398">
        <v>925600</v>
      </c>
    </row>
    <row r="399" spans="1:4" x14ac:dyDescent="0.25">
      <c r="A399" s="2">
        <v>41671</v>
      </c>
      <c r="B399" t="s">
        <v>5</v>
      </c>
      <c r="C399" t="s">
        <v>6</v>
      </c>
      <c r="D399">
        <v>114800</v>
      </c>
    </row>
    <row r="400" spans="1:4" x14ac:dyDescent="0.25">
      <c r="A400" s="2">
        <v>41671</v>
      </c>
      <c r="B400" t="s">
        <v>18</v>
      </c>
      <c r="C400" t="s">
        <v>7</v>
      </c>
      <c r="D400">
        <v>2865900</v>
      </c>
    </row>
    <row r="401" spans="1:4" x14ac:dyDescent="0.25">
      <c r="A401" s="2">
        <v>41671</v>
      </c>
      <c r="B401" t="s">
        <v>18</v>
      </c>
      <c r="C401" t="s">
        <v>6</v>
      </c>
      <c r="D401">
        <v>2220000</v>
      </c>
    </row>
    <row r="402" spans="1:4" x14ac:dyDescent="0.25">
      <c r="A402" s="2">
        <v>41671</v>
      </c>
      <c r="B402" t="s">
        <v>114</v>
      </c>
      <c r="C402" t="s">
        <v>19</v>
      </c>
      <c r="D402">
        <v>2262100</v>
      </c>
    </row>
    <row r="403" spans="1:4" x14ac:dyDescent="0.25">
      <c r="A403" s="2">
        <v>41699</v>
      </c>
      <c r="B403" t="s">
        <v>5</v>
      </c>
      <c r="C403" t="s">
        <v>7</v>
      </c>
      <c r="D403">
        <v>242900</v>
      </c>
    </row>
    <row r="404" spans="1:4" x14ac:dyDescent="0.25">
      <c r="A404" s="2">
        <v>41699</v>
      </c>
      <c r="B404" t="s">
        <v>5</v>
      </c>
      <c r="C404" t="s">
        <v>6</v>
      </c>
      <c r="D404">
        <v>113500</v>
      </c>
    </row>
    <row r="405" spans="1:4" x14ac:dyDescent="0.25">
      <c r="A405" s="2">
        <v>41699</v>
      </c>
      <c r="B405" t="s">
        <v>18</v>
      </c>
      <c r="C405" t="s">
        <v>7</v>
      </c>
      <c r="D405">
        <v>3560500</v>
      </c>
    </row>
    <row r="406" spans="1:4" x14ac:dyDescent="0.25">
      <c r="A406" s="2">
        <v>41699</v>
      </c>
      <c r="B406" t="s">
        <v>18</v>
      </c>
      <c r="C406" t="s">
        <v>6</v>
      </c>
      <c r="D406">
        <v>2142600</v>
      </c>
    </row>
    <row r="407" spans="1:4" x14ac:dyDescent="0.25">
      <c r="A407" s="2">
        <v>41699</v>
      </c>
      <c r="B407" t="s">
        <v>114</v>
      </c>
      <c r="C407" t="s">
        <v>19</v>
      </c>
      <c r="D407">
        <v>2378400</v>
      </c>
    </row>
    <row r="408" spans="1:4" x14ac:dyDescent="0.25">
      <c r="A408" s="2">
        <v>41730</v>
      </c>
      <c r="B408" t="s">
        <v>5</v>
      </c>
      <c r="C408" t="s">
        <v>7</v>
      </c>
      <c r="D408">
        <v>237300</v>
      </c>
    </row>
    <row r="409" spans="1:4" x14ac:dyDescent="0.25">
      <c r="A409" s="2">
        <v>41730</v>
      </c>
      <c r="B409" t="s">
        <v>5</v>
      </c>
      <c r="C409" t="s">
        <v>6</v>
      </c>
      <c r="D409">
        <v>109200</v>
      </c>
    </row>
    <row r="410" spans="1:4" x14ac:dyDescent="0.25">
      <c r="A410" s="2">
        <v>41730</v>
      </c>
      <c r="B410" t="s">
        <v>18</v>
      </c>
      <c r="C410" t="s">
        <v>7</v>
      </c>
      <c r="D410">
        <v>3483900</v>
      </c>
    </row>
    <row r="411" spans="1:4" x14ac:dyDescent="0.25">
      <c r="A411" s="2">
        <v>41730</v>
      </c>
      <c r="B411" t="s">
        <v>18</v>
      </c>
      <c r="C411" t="s">
        <v>6</v>
      </c>
      <c r="D411">
        <v>2066400</v>
      </c>
    </row>
    <row r="412" spans="1:4" x14ac:dyDescent="0.25">
      <c r="A412" s="2">
        <v>41730</v>
      </c>
      <c r="B412" t="s">
        <v>114</v>
      </c>
      <c r="C412" t="s">
        <v>7</v>
      </c>
      <c r="D412">
        <v>91600</v>
      </c>
    </row>
    <row r="413" spans="1:4" x14ac:dyDescent="0.25">
      <c r="A413" s="2">
        <v>41730</v>
      </c>
      <c r="B413" t="s">
        <v>114</v>
      </c>
      <c r="C413" t="s">
        <v>6</v>
      </c>
      <c r="D413">
        <v>2403700</v>
      </c>
    </row>
    <row r="414" spans="1:4" x14ac:dyDescent="0.25">
      <c r="A414" s="2">
        <v>41760</v>
      </c>
      <c r="B414" t="s">
        <v>5</v>
      </c>
      <c r="C414" t="s">
        <v>7</v>
      </c>
      <c r="D414">
        <v>233300</v>
      </c>
    </row>
    <row r="415" spans="1:4" x14ac:dyDescent="0.25">
      <c r="A415" s="2">
        <v>41760</v>
      </c>
      <c r="B415" t="s">
        <v>5</v>
      </c>
      <c r="C415" t="s">
        <v>6</v>
      </c>
      <c r="D415">
        <v>107100</v>
      </c>
    </row>
    <row r="416" spans="1:4" x14ac:dyDescent="0.25">
      <c r="A416" s="2">
        <v>41760</v>
      </c>
      <c r="B416" t="s">
        <v>18</v>
      </c>
      <c r="C416" t="s">
        <v>7</v>
      </c>
      <c r="D416">
        <v>3432400</v>
      </c>
    </row>
    <row r="417" spans="1:4" x14ac:dyDescent="0.25">
      <c r="A417" s="2">
        <v>41760</v>
      </c>
      <c r="B417" t="s">
        <v>18</v>
      </c>
      <c r="C417" t="s">
        <v>6</v>
      </c>
      <c r="D417">
        <v>1994100</v>
      </c>
    </row>
    <row r="418" spans="1:4" x14ac:dyDescent="0.25">
      <c r="A418" s="2">
        <v>41760</v>
      </c>
      <c r="B418" t="s">
        <v>114</v>
      </c>
      <c r="C418" t="s">
        <v>7</v>
      </c>
      <c r="D418">
        <v>1000000</v>
      </c>
    </row>
    <row r="419" spans="1:4" x14ac:dyDescent="0.25">
      <c r="A419" s="2">
        <v>41760</v>
      </c>
      <c r="B419" t="s">
        <v>114</v>
      </c>
      <c r="C419" t="s">
        <v>6</v>
      </c>
      <c r="D419">
        <v>2491400</v>
      </c>
    </row>
    <row r="420" spans="1:4" x14ac:dyDescent="0.25">
      <c r="A420" s="2">
        <v>41791</v>
      </c>
      <c r="B420" t="s">
        <v>5</v>
      </c>
      <c r="C420" t="s">
        <v>7</v>
      </c>
      <c r="D420">
        <v>226800</v>
      </c>
    </row>
    <row r="421" spans="1:4" x14ac:dyDescent="0.25">
      <c r="A421" s="2">
        <v>41791</v>
      </c>
      <c r="B421" t="s">
        <v>5</v>
      </c>
      <c r="C421" t="s">
        <v>6</v>
      </c>
      <c r="D421">
        <v>103900</v>
      </c>
    </row>
    <row r="422" spans="1:4" x14ac:dyDescent="0.25">
      <c r="A422" s="2">
        <v>41791</v>
      </c>
      <c r="B422" t="s">
        <v>18</v>
      </c>
      <c r="C422" t="s">
        <v>7</v>
      </c>
      <c r="D422">
        <v>3336700</v>
      </c>
    </row>
    <row r="423" spans="1:4" x14ac:dyDescent="0.25">
      <c r="A423" s="2">
        <v>41791</v>
      </c>
      <c r="B423" t="s">
        <v>18</v>
      </c>
      <c r="C423" t="s">
        <v>6</v>
      </c>
      <c r="D423">
        <v>1941900</v>
      </c>
    </row>
    <row r="424" spans="1:4" x14ac:dyDescent="0.25">
      <c r="A424" s="2">
        <v>41791</v>
      </c>
      <c r="B424" t="s">
        <v>114</v>
      </c>
      <c r="C424" t="s">
        <v>7</v>
      </c>
      <c r="D424">
        <v>135300</v>
      </c>
    </row>
    <row r="425" spans="1:4" x14ac:dyDescent="0.25">
      <c r="A425" s="2">
        <v>41791</v>
      </c>
      <c r="B425" t="s">
        <v>114</v>
      </c>
      <c r="C425" t="s">
        <v>6</v>
      </c>
      <c r="D425">
        <v>2566100</v>
      </c>
    </row>
    <row r="426" spans="1:4" x14ac:dyDescent="0.25">
      <c r="A426" s="2">
        <v>41821</v>
      </c>
      <c r="B426" t="s">
        <v>5</v>
      </c>
      <c r="C426" t="s">
        <v>7</v>
      </c>
      <c r="D426">
        <v>222100</v>
      </c>
    </row>
    <row r="427" spans="1:4" x14ac:dyDescent="0.25">
      <c r="A427" s="2">
        <v>41821</v>
      </c>
      <c r="B427" t="s">
        <v>5</v>
      </c>
      <c r="C427" t="s">
        <v>6</v>
      </c>
      <c r="D427">
        <v>100700</v>
      </c>
    </row>
    <row r="428" spans="1:4" x14ac:dyDescent="0.25">
      <c r="A428" s="2">
        <v>41821</v>
      </c>
      <c r="B428" t="s">
        <v>18</v>
      </c>
      <c r="C428" t="s">
        <v>7</v>
      </c>
      <c r="D428">
        <v>3260300</v>
      </c>
    </row>
    <row r="429" spans="1:4" x14ac:dyDescent="0.25">
      <c r="A429" s="2">
        <v>41821</v>
      </c>
      <c r="B429" t="s">
        <v>18</v>
      </c>
      <c r="C429" t="s">
        <v>6</v>
      </c>
      <c r="D429">
        <v>1950900</v>
      </c>
    </row>
    <row r="430" spans="1:4" x14ac:dyDescent="0.25">
      <c r="A430" s="2">
        <v>41821</v>
      </c>
      <c r="B430" t="s">
        <v>114</v>
      </c>
      <c r="C430" t="s">
        <v>7</v>
      </c>
      <c r="D430">
        <v>162700</v>
      </c>
    </row>
    <row r="431" spans="1:4" x14ac:dyDescent="0.25">
      <c r="A431" s="2">
        <v>41821</v>
      </c>
      <c r="B431" t="s">
        <v>114</v>
      </c>
      <c r="C431" t="s">
        <v>6</v>
      </c>
      <c r="D431">
        <v>40000000</v>
      </c>
    </row>
    <row r="432" spans="1:4" x14ac:dyDescent="0.25">
      <c r="A432" s="2">
        <v>41852</v>
      </c>
      <c r="B432" t="s">
        <v>5</v>
      </c>
      <c r="C432" t="s">
        <v>7</v>
      </c>
      <c r="D432">
        <v>218600</v>
      </c>
    </row>
    <row r="433" spans="1:4" x14ac:dyDescent="0.25">
      <c r="A433" s="2">
        <v>41852</v>
      </c>
      <c r="B433" t="s">
        <v>5</v>
      </c>
      <c r="C433" t="s">
        <v>6</v>
      </c>
      <c r="D433">
        <v>98500</v>
      </c>
    </row>
    <row r="434" spans="1:4" x14ac:dyDescent="0.25">
      <c r="A434" s="2">
        <v>41852</v>
      </c>
      <c r="B434" t="s">
        <v>18</v>
      </c>
      <c r="C434" t="s">
        <v>7</v>
      </c>
      <c r="D434">
        <v>3199600</v>
      </c>
    </row>
    <row r="435" spans="1:4" x14ac:dyDescent="0.25">
      <c r="A435" s="2">
        <v>41852</v>
      </c>
      <c r="B435" t="s">
        <v>18</v>
      </c>
      <c r="C435" t="s">
        <v>6</v>
      </c>
      <c r="D435">
        <v>1901900</v>
      </c>
    </row>
    <row r="436" spans="1:4" x14ac:dyDescent="0.25">
      <c r="A436" s="2">
        <v>41852</v>
      </c>
      <c r="B436" t="s">
        <v>114</v>
      </c>
      <c r="C436" t="s">
        <v>7</v>
      </c>
      <c r="D436">
        <v>184500</v>
      </c>
    </row>
    <row r="437" spans="1:4" x14ac:dyDescent="0.25">
      <c r="A437" s="2">
        <v>41852</v>
      </c>
      <c r="B437" t="s">
        <v>114</v>
      </c>
      <c r="C437" t="s">
        <v>6</v>
      </c>
      <c r="D437">
        <v>2626200</v>
      </c>
    </row>
    <row r="438" spans="1:4" x14ac:dyDescent="0.25">
      <c r="A438" s="2">
        <v>41883</v>
      </c>
      <c r="B438" t="s">
        <v>5</v>
      </c>
      <c r="C438" t="s">
        <v>7</v>
      </c>
      <c r="D438">
        <v>216300</v>
      </c>
    </row>
    <row r="439" spans="1:4" x14ac:dyDescent="0.25">
      <c r="A439" s="2">
        <v>41883</v>
      </c>
      <c r="B439" t="s">
        <v>5</v>
      </c>
      <c r="C439" t="s">
        <v>6</v>
      </c>
      <c r="D439">
        <v>97100</v>
      </c>
    </row>
    <row r="440" spans="1:4" x14ac:dyDescent="0.25">
      <c r="A440" s="2">
        <v>41883</v>
      </c>
      <c r="B440" t="s">
        <v>18</v>
      </c>
      <c r="C440" t="s">
        <v>7</v>
      </c>
      <c r="D440">
        <v>3100800</v>
      </c>
    </row>
    <row r="441" spans="1:4" x14ac:dyDescent="0.25">
      <c r="A441" s="2">
        <v>41883</v>
      </c>
      <c r="B441" t="s">
        <v>18</v>
      </c>
      <c r="C441" t="s">
        <v>6</v>
      </c>
      <c r="D441">
        <v>1864300</v>
      </c>
    </row>
    <row r="442" spans="1:4" x14ac:dyDescent="0.25">
      <c r="A442" s="2">
        <v>41883</v>
      </c>
      <c r="B442" t="s">
        <v>114</v>
      </c>
      <c r="C442" t="s">
        <v>7</v>
      </c>
      <c r="D442">
        <v>199500</v>
      </c>
    </row>
    <row r="443" spans="1:4" x14ac:dyDescent="0.25">
      <c r="A443" s="2">
        <v>41883</v>
      </c>
      <c r="B443" t="s">
        <v>114</v>
      </c>
      <c r="C443" t="s">
        <v>6</v>
      </c>
      <c r="D443">
        <v>2676400</v>
      </c>
    </row>
    <row r="444" spans="1:4" x14ac:dyDescent="0.25">
      <c r="A444" s="2">
        <v>41913</v>
      </c>
      <c r="B444" t="s">
        <v>5</v>
      </c>
      <c r="C444" t="s">
        <v>7</v>
      </c>
      <c r="D444">
        <v>215500</v>
      </c>
    </row>
    <row r="445" spans="1:4" x14ac:dyDescent="0.25">
      <c r="A445" s="2">
        <v>41913</v>
      </c>
      <c r="B445" t="s">
        <v>5</v>
      </c>
      <c r="C445" t="s">
        <v>6</v>
      </c>
      <c r="D445">
        <v>95000</v>
      </c>
    </row>
    <row r="446" spans="1:4" x14ac:dyDescent="0.25">
      <c r="A446" s="2">
        <v>41913</v>
      </c>
      <c r="B446" t="s">
        <v>18</v>
      </c>
      <c r="C446" t="s">
        <v>7</v>
      </c>
      <c r="D446">
        <v>3053900</v>
      </c>
    </row>
    <row r="447" spans="1:4" x14ac:dyDescent="0.25">
      <c r="A447" s="2">
        <v>41913</v>
      </c>
      <c r="B447" t="s">
        <v>18</v>
      </c>
      <c r="C447" t="s">
        <v>6</v>
      </c>
      <c r="D447">
        <v>1799000</v>
      </c>
    </row>
    <row r="448" spans="1:4" x14ac:dyDescent="0.25">
      <c r="A448" s="2">
        <v>41913</v>
      </c>
      <c r="B448" t="s">
        <v>114</v>
      </c>
      <c r="C448" t="s">
        <v>7</v>
      </c>
      <c r="D448">
        <v>213400</v>
      </c>
    </row>
    <row r="449" spans="1:4" x14ac:dyDescent="0.25">
      <c r="A449" s="2">
        <v>41913</v>
      </c>
      <c r="B449" t="s">
        <v>114</v>
      </c>
      <c r="C449" t="s">
        <v>6</v>
      </c>
      <c r="D449">
        <v>2759400</v>
      </c>
    </row>
    <row r="450" spans="1:4" x14ac:dyDescent="0.25">
      <c r="A450" s="2">
        <v>41944</v>
      </c>
      <c r="B450" t="s">
        <v>5</v>
      </c>
      <c r="C450" t="s">
        <v>7</v>
      </c>
      <c r="D450">
        <v>216200</v>
      </c>
    </row>
    <row r="451" spans="1:4" x14ac:dyDescent="0.25">
      <c r="A451" s="2">
        <v>41944</v>
      </c>
      <c r="B451" t="s">
        <v>5</v>
      </c>
      <c r="C451" t="s">
        <v>6</v>
      </c>
      <c r="D451">
        <v>92700</v>
      </c>
    </row>
    <row r="452" spans="1:4" x14ac:dyDescent="0.25">
      <c r="A452" s="2">
        <v>41944</v>
      </c>
      <c r="B452" t="s">
        <v>18</v>
      </c>
      <c r="C452" t="s">
        <v>7</v>
      </c>
      <c r="D452">
        <v>2977200</v>
      </c>
    </row>
    <row r="453" spans="1:4" x14ac:dyDescent="0.25">
      <c r="A453" s="2">
        <v>41944</v>
      </c>
      <c r="B453" t="s">
        <v>18</v>
      </c>
      <c r="C453" t="s">
        <v>6</v>
      </c>
      <c r="D453">
        <v>1734800</v>
      </c>
    </row>
    <row r="454" spans="1:4" x14ac:dyDescent="0.25">
      <c r="A454" s="2">
        <v>41944</v>
      </c>
      <c r="B454" t="s">
        <v>114</v>
      </c>
      <c r="C454" t="s">
        <v>7</v>
      </c>
      <c r="D454">
        <v>239600</v>
      </c>
    </row>
    <row r="455" spans="1:4" x14ac:dyDescent="0.25">
      <c r="A455" s="2">
        <v>41944</v>
      </c>
      <c r="B455" t="s">
        <v>114</v>
      </c>
      <c r="C455" t="s">
        <v>6</v>
      </c>
      <c r="D455">
        <v>2847400</v>
      </c>
    </row>
    <row r="456" spans="1:4" x14ac:dyDescent="0.25">
      <c r="A456" s="2">
        <v>41974</v>
      </c>
      <c r="B456" t="s">
        <v>5</v>
      </c>
      <c r="C456" t="s">
        <v>7</v>
      </c>
      <c r="D456">
        <v>213100</v>
      </c>
    </row>
    <row r="457" spans="1:4" x14ac:dyDescent="0.25">
      <c r="A457" s="2">
        <v>41974</v>
      </c>
      <c r="B457" t="s">
        <v>5</v>
      </c>
      <c r="C457" t="s">
        <v>6</v>
      </c>
      <c r="D457">
        <v>89800</v>
      </c>
    </row>
    <row r="458" spans="1:4" x14ac:dyDescent="0.25">
      <c r="A458" s="2">
        <v>41974</v>
      </c>
      <c r="B458" t="s">
        <v>18</v>
      </c>
      <c r="C458" t="s">
        <v>7</v>
      </c>
      <c r="D458">
        <v>2934400</v>
      </c>
    </row>
    <row r="459" spans="1:4" x14ac:dyDescent="0.25">
      <c r="A459" s="2">
        <v>41974</v>
      </c>
      <c r="B459" t="s">
        <v>18</v>
      </c>
      <c r="C459" t="s">
        <v>6</v>
      </c>
      <c r="D459">
        <v>1674400</v>
      </c>
    </row>
    <row r="460" spans="1:4" x14ac:dyDescent="0.25">
      <c r="A460" s="2">
        <v>41974</v>
      </c>
      <c r="B460" t="s">
        <v>114</v>
      </c>
      <c r="C460" t="s">
        <v>7</v>
      </c>
      <c r="D460">
        <v>257600</v>
      </c>
    </row>
    <row r="461" spans="1:4" x14ac:dyDescent="0.25">
      <c r="A461" s="2">
        <v>41974</v>
      </c>
      <c r="B461" t="s">
        <v>114</v>
      </c>
      <c r="C461" t="s">
        <v>6</v>
      </c>
      <c r="D461">
        <v>2924000</v>
      </c>
    </row>
    <row r="462" spans="1:4" x14ac:dyDescent="0.25">
      <c r="A462" s="2">
        <v>42005</v>
      </c>
      <c r="B462" t="s">
        <v>5</v>
      </c>
      <c r="C462" t="s">
        <v>7</v>
      </c>
      <c r="D462">
        <v>205400</v>
      </c>
    </row>
    <row r="463" spans="1:4" x14ac:dyDescent="0.25">
      <c r="A463" s="2">
        <v>42005</v>
      </c>
      <c r="B463" t="s">
        <v>5</v>
      </c>
      <c r="C463" t="s">
        <v>6</v>
      </c>
      <c r="D463">
        <v>87200</v>
      </c>
    </row>
    <row r="464" spans="1:4" x14ac:dyDescent="0.25">
      <c r="A464" s="2">
        <v>42005</v>
      </c>
      <c r="B464" t="s">
        <v>18</v>
      </c>
      <c r="C464" t="s">
        <v>7</v>
      </c>
      <c r="D464">
        <v>2887200</v>
      </c>
    </row>
    <row r="465" spans="1:4" x14ac:dyDescent="0.25">
      <c r="A465" s="2">
        <v>42005</v>
      </c>
      <c r="B465" t="s">
        <v>18</v>
      </c>
      <c r="C465" t="s">
        <v>6</v>
      </c>
      <c r="D465">
        <v>1621900</v>
      </c>
    </row>
    <row r="466" spans="1:4" x14ac:dyDescent="0.25">
      <c r="A466" s="2">
        <v>42005</v>
      </c>
      <c r="B466" t="s">
        <v>114</v>
      </c>
      <c r="C466" t="s">
        <v>7</v>
      </c>
      <c r="D466">
        <v>313700</v>
      </c>
    </row>
    <row r="467" spans="1:4" x14ac:dyDescent="0.25">
      <c r="A467" s="2">
        <v>42005</v>
      </c>
      <c r="B467" t="s">
        <v>114</v>
      </c>
      <c r="C467" t="s">
        <v>6</v>
      </c>
      <c r="D467">
        <v>2991300</v>
      </c>
    </row>
    <row r="468" spans="1:4" x14ac:dyDescent="0.25">
      <c r="A468" s="2">
        <v>42036</v>
      </c>
      <c r="B468" t="s">
        <v>5</v>
      </c>
      <c r="C468" t="s">
        <v>7</v>
      </c>
      <c r="D468">
        <v>205700</v>
      </c>
    </row>
    <row r="469" spans="1:4" x14ac:dyDescent="0.25">
      <c r="A469" s="2">
        <v>42036</v>
      </c>
      <c r="B469" t="s">
        <v>5</v>
      </c>
      <c r="C469" t="s">
        <v>6</v>
      </c>
      <c r="D469">
        <v>85200</v>
      </c>
    </row>
    <row r="470" spans="1:4" x14ac:dyDescent="0.25">
      <c r="A470" s="2">
        <v>42036</v>
      </c>
      <c r="B470" t="s">
        <v>18</v>
      </c>
      <c r="C470" t="s">
        <v>7</v>
      </c>
      <c r="D470">
        <v>2831100</v>
      </c>
    </row>
    <row r="471" spans="1:4" x14ac:dyDescent="0.25">
      <c r="A471" s="2">
        <v>42036</v>
      </c>
      <c r="B471" t="s">
        <v>18</v>
      </c>
      <c r="C471" t="s">
        <v>6</v>
      </c>
      <c r="D471">
        <v>1589200</v>
      </c>
    </row>
    <row r="472" spans="1:4" x14ac:dyDescent="0.25">
      <c r="A472" s="2">
        <v>42036</v>
      </c>
      <c r="B472" t="s">
        <v>114</v>
      </c>
      <c r="C472" t="s">
        <v>7</v>
      </c>
      <c r="D472">
        <v>90000000</v>
      </c>
    </row>
    <row r="473" spans="1:4" x14ac:dyDescent="0.25">
      <c r="A473" s="2">
        <v>42036</v>
      </c>
      <c r="B473" t="s">
        <v>114</v>
      </c>
      <c r="C473" t="s">
        <v>6</v>
      </c>
      <c r="D473">
        <v>3035300</v>
      </c>
    </row>
    <row r="474" spans="1:4" x14ac:dyDescent="0.25">
      <c r="A474" s="2">
        <v>42064</v>
      </c>
      <c r="B474" t="s">
        <v>5</v>
      </c>
      <c r="C474" t="s">
        <v>7</v>
      </c>
      <c r="D474">
        <v>203500</v>
      </c>
    </row>
    <row r="475" spans="1:4" x14ac:dyDescent="0.25">
      <c r="A475" s="2">
        <v>42064</v>
      </c>
      <c r="B475" t="s">
        <v>5</v>
      </c>
      <c r="C475" t="s">
        <v>6</v>
      </c>
      <c r="D475">
        <v>83100</v>
      </c>
    </row>
    <row r="476" spans="1:4" x14ac:dyDescent="0.25">
      <c r="A476" s="2">
        <v>42064</v>
      </c>
      <c r="B476" t="s">
        <v>18</v>
      </c>
      <c r="C476" t="s">
        <v>7</v>
      </c>
      <c r="D476">
        <v>2781900</v>
      </c>
    </row>
    <row r="477" spans="1:4" x14ac:dyDescent="0.25">
      <c r="A477" s="2">
        <v>42064</v>
      </c>
      <c r="B477" t="s">
        <v>18</v>
      </c>
      <c r="C477" t="s">
        <v>6</v>
      </c>
      <c r="D477">
        <v>1559900</v>
      </c>
    </row>
    <row r="478" spans="1:4" x14ac:dyDescent="0.25">
      <c r="A478" s="2">
        <v>42064</v>
      </c>
      <c r="B478" t="s">
        <v>114</v>
      </c>
      <c r="C478" t="s">
        <v>7</v>
      </c>
      <c r="D478">
        <v>80000000</v>
      </c>
    </row>
    <row r="479" spans="1:4" x14ac:dyDescent="0.25">
      <c r="A479" s="2">
        <v>42064</v>
      </c>
      <c r="B479" t="s">
        <v>114</v>
      </c>
      <c r="C479" t="s">
        <v>6</v>
      </c>
      <c r="D479">
        <v>3080100</v>
      </c>
    </row>
    <row r="480" spans="1:4" x14ac:dyDescent="0.25">
      <c r="A480" s="2">
        <v>42095</v>
      </c>
      <c r="B480" t="s">
        <v>5</v>
      </c>
      <c r="C480" t="s">
        <v>7</v>
      </c>
      <c r="D480">
        <v>203700</v>
      </c>
    </row>
    <row r="481" spans="1:4" x14ac:dyDescent="0.25">
      <c r="A481" s="2">
        <v>42095</v>
      </c>
      <c r="B481" t="s">
        <v>5</v>
      </c>
      <c r="C481" t="s">
        <v>6</v>
      </c>
      <c r="D481">
        <v>81800</v>
      </c>
    </row>
    <row r="482" spans="1:4" x14ac:dyDescent="0.25">
      <c r="A482" s="2">
        <v>42095</v>
      </c>
      <c r="B482" t="s">
        <v>18</v>
      </c>
      <c r="C482" t="s">
        <v>7</v>
      </c>
      <c r="D482">
        <v>2757100</v>
      </c>
    </row>
    <row r="483" spans="1:4" x14ac:dyDescent="0.25">
      <c r="A483" s="2">
        <v>42095</v>
      </c>
      <c r="B483" t="s">
        <v>18</v>
      </c>
      <c r="C483" t="s">
        <v>6</v>
      </c>
      <c r="D483">
        <v>1530400</v>
      </c>
    </row>
    <row r="484" spans="1:4" x14ac:dyDescent="0.25">
      <c r="A484" s="2">
        <v>42095</v>
      </c>
      <c r="B484" t="s">
        <v>114</v>
      </c>
      <c r="C484" t="s">
        <v>7</v>
      </c>
      <c r="D484">
        <v>425400</v>
      </c>
    </row>
    <row r="485" spans="1:4" x14ac:dyDescent="0.25">
      <c r="A485" s="2">
        <v>42095</v>
      </c>
      <c r="B485" t="s">
        <v>114</v>
      </c>
      <c r="C485" t="s">
        <v>6</v>
      </c>
      <c r="D485">
        <v>3125500</v>
      </c>
    </row>
    <row r="486" spans="1:4" x14ac:dyDescent="0.25">
      <c r="A486" s="2">
        <v>42125</v>
      </c>
      <c r="B486" t="s">
        <v>5</v>
      </c>
      <c r="C486" t="s">
        <v>7</v>
      </c>
      <c r="D486">
        <v>195200</v>
      </c>
    </row>
    <row r="487" spans="1:4" x14ac:dyDescent="0.25">
      <c r="A487" s="2">
        <v>42125</v>
      </c>
      <c r="B487" t="s">
        <v>5</v>
      </c>
      <c r="C487" t="s">
        <v>6</v>
      </c>
      <c r="D487">
        <v>80300</v>
      </c>
    </row>
    <row r="488" spans="1:4" x14ac:dyDescent="0.25">
      <c r="A488" s="2">
        <v>42125</v>
      </c>
      <c r="B488" t="s">
        <v>18</v>
      </c>
      <c r="C488" t="s">
        <v>7</v>
      </c>
      <c r="D488">
        <v>2730700</v>
      </c>
    </row>
    <row r="489" spans="1:4" x14ac:dyDescent="0.25">
      <c r="A489" s="2">
        <v>42125</v>
      </c>
      <c r="B489" t="s">
        <v>18</v>
      </c>
      <c r="C489" t="s">
        <v>6</v>
      </c>
      <c r="D489">
        <v>1497500</v>
      </c>
    </row>
    <row r="490" spans="1:4" x14ac:dyDescent="0.25">
      <c r="A490" s="2">
        <v>42125</v>
      </c>
      <c r="B490" t="s">
        <v>114</v>
      </c>
      <c r="C490" t="s">
        <v>7</v>
      </c>
      <c r="D490">
        <v>446200</v>
      </c>
    </row>
    <row r="491" spans="1:4" x14ac:dyDescent="0.25">
      <c r="A491" s="2">
        <v>42125</v>
      </c>
      <c r="B491" t="s">
        <v>114</v>
      </c>
      <c r="C491" t="s">
        <v>6</v>
      </c>
      <c r="D491">
        <v>3168000</v>
      </c>
    </row>
    <row r="492" spans="1:4" x14ac:dyDescent="0.25">
      <c r="A492" s="2">
        <v>42156</v>
      </c>
      <c r="B492" t="s">
        <v>5</v>
      </c>
      <c r="C492" t="s">
        <v>7</v>
      </c>
      <c r="D492">
        <v>191600</v>
      </c>
    </row>
    <row r="493" spans="1:4" x14ac:dyDescent="0.25">
      <c r="A493" s="2">
        <v>42156</v>
      </c>
      <c r="B493" t="s">
        <v>5</v>
      </c>
      <c r="C493" t="s">
        <v>6</v>
      </c>
      <c r="D493">
        <v>77900</v>
      </c>
    </row>
    <row r="494" spans="1:4" x14ac:dyDescent="0.25">
      <c r="A494" s="2">
        <v>42156</v>
      </c>
      <c r="B494" t="s">
        <v>18</v>
      </c>
      <c r="C494" t="s">
        <v>7</v>
      </c>
      <c r="D494">
        <v>2721400</v>
      </c>
    </row>
    <row r="495" spans="1:4" x14ac:dyDescent="0.25">
      <c r="A495" s="2">
        <v>42156</v>
      </c>
      <c r="B495" t="s">
        <v>18</v>
      </c>
      <c r="C495" t="s">
        <v>6</v>
      </c>
      <c r="D495">
        <v>1468400</v>
      </c>
    </row>
    <row r="496" spans="1:4" x14ac:dyDescent="0.25">
      <c r="A496" s="2">
        <v>42156</v>
      </c>
      <c r="B496" t="s">
        <v>114</v>
      </c>
      <c r="C496" t="s">
        <v>7</v>
      </c>
      <c r="D496">
        <v>454600</v>
      </c>
    </row>
    <row r="497" spans="1:4" x14ac:dyDescent="0.25">
      <c r="A497" s="2">
        <v>42156</v>
      </c>
      <c r="B497" t="s">
        <v>114</v>
      </c>
      <c r="C497" t="s">
        <v>6</v>
      </c>
      <c r="D497">
        <v>3212700</v>
      </c>
    </row>
    <row r="498" spans="1:4" x14ac:dyDescent="0.25">
      <c r="A498" s="2">
        <v>42186</v>
      </c>
      <c r="B498" t="s">
        <v>5</v>
      </c>
      <c r="C498" t="s">
        <v>7</v>
      </c>
      <c r="D498">
        <v>179900</v>
      </c>
    </row>
    <row r="499" spans="1:4" x14ac:dyDescent="0.25">
      <c r="A499" s="2">
        <v>42186</v>
      </c>
      <c r="B499" t="s">
        <v>5</v>
      </c>
      <c r="C499" t="s">
        <v>6</v>
      </c>
      <c r="D499">
        <v>76500</v>
      </c>
    </row>
    <row r="500" spans="1:4" x14ac:dyDescent="0.25">
      <c r="A500" s="2">
        <v>42186</v>
      </c>
      <c r="B500" t="s">
        <v>18</v>
      </c>
      <c r="C500" t="s">
        <v>7</v>
      </c>
      <c r="D500">
        <v>2726700</v>
      </c>
    </row>
    <row r="501" spans="1:4" x14ac:dyDescent="0.25">
      <c r="A501" s="2">
        <v>42186</v>
      </c>
      <c r="B501" t="s">
        <v>18</v>
      </c>
      <c r="C501" t="s">
        <v>6</v>
      </c>
      <c r="D501">
        <v>1436100</v>
      </c>
    </row>
    <row r="502" spans="1:4" x14ac:dyDescent="0.25">
      <c r="A502" s="2">
        <v>42186</v>
      </c>
      <c r="B502" t="s">
        <v>114</v>
      </c>
      <c r="C502" t="s">
        <v>7</v>
      </c>
      <c r="D502">
        <v>464600</v>
      </c>
    </row>
    <row r="503" spans="1:4" x14ac:dyDescent="0.25">
      <c r="A503" s="2">
        <v>42186</v>
      </c>
      <c r="B503" t="s">
        <v>114</v>
      </c>
      <c r="C503" t="s">
        <v>6</v>
      </c>
      <c r="D503">
        <v>3259100</v>
      </c>
    </row>
    <row r="504" spans="1:4" x14ac:dyDescent="0.25">
      <c r="A504" s="2">
        <v>42217</v>
      </c>
      <c r="B504" t="s">
        <v>5</v>
      </c>
      <c r="C504" t="s">
        <v>7</v>
      </c>
      <c r="D504">
        <v>180300</v>
      </c>
    </row>
    <row r="505" spans="1:4" x14ac:dyDescent="0.25">
      <c r="A505" s="2">
        <v>42217</v>
      </c>
      <c r="B505" t="s">
        <v>5</v>
      </c>
      <c r="C505" t="s">
        <v>6</v>
      </c>
      <c r="D505">
        <v>71900</v>
      </c>
    </row>
    <row r="506" spans="1:4" x14ac:dyDescent="0.25">
      <c r="A506" s="2">
        <v>42217</v>
      </c>
      <c r="B506" t="s">
        <v>18</v>
      </c>
      <c r="C506" t="s">
        <v>7</v>
      </c>
      <c r="D506">
        <v>2730400</v>
      </c>
    </row>
    <row r="507" spans="1:4" x14ac:dyDescent="0.25">
      <c r="A507" s="2">
        <v>42217</v>
      </c>
      <c r="B507" t="s">
        <v>18</v>
      </c>
      <c r="C507" t="s">
        <v>6</v>
      </c>
      <c r="D507">
        <v>1408100</v>
      </c>
    </row>
    <row r="508" spans="1:4" x14ac:dyDescent="0.25">
      <c r="A508" s="2">
        <v>42217</v>
      </c>
      <c r="B508" t="s">
        <v>114</v>
      </c>
      <c r="C508" t="s">
        <v>7</v>
      </c>
      <c r="D508">
        <v>467200</v>
      </c>
    </row>
    <row r="509" spans="1:4" x14ac:dyDescent="0.25">
      <c r="A509" s="2">
        <v>42217</v>
      </c>
      <c r="B509" t="s">
        <v>114</v>
      </c>
      <c r="C509" t="s">
        <v>6</v>
      </c>
      <c r="D509">
        <v>3308200</v>
      </c>
    </row>
    <row r="510" spans="1:4" x14ac:dyDescent="0.25">
      <c r="A510" s="2">
        <v>42248</v>
      </c>
      <c r="B510" t="s">
        <v>5</v>
      </c>
      <c r="C510" t="s">
        <v>7</v>
      </c>
      <c r="D510">
        <v>180000</v>
      </c>
    </row>
    <row r="511" spans="1:4" x14ac:dyDescent="0.25">
      <c r="A511" s="2">
        <v>42248</v>
      </c>
      <c r="B511" t="s">
        <v>5</v>
      </c>
      <c r="C511" t="s">
        <v>6</v>
      </c>
      <c r="D511">
        <v>69100</v>
      </c>
    </row>
    <row r="512" spans="1:4" x14ac:dyDescent="0.25">
      <c r="A512" s="2">
        <v>42248</v>
      </c>
      <c r="B512" t="s">
        <v>18</v>
      </c>
      <c r="C512" t="s">
        <v>7</v>
      </c>
      <c r="D512">
        <v>2730100</v>
      </c>
    </row>
    <row r="513" spans="1:4" x14ac:dyDescent="0.25">
      <c r="A513" s="2">
        <v>42248</v>
      </c>
      <c r="B513" t="s">
        <v>18</v>
      </c>
      <c r="C513" t="s">
        <v>6</v>
      </c>
      <c r="D513">
        <v>1308100</v>
      </c>
    </row>
    <row r="514" spans="1:4" x14ac:dyDescent="0.25">
      <c r="A514" s="2">
        <v>42248</v>
      </c>
      <c r="B514" t="s">
        <v>114</v>
      </c>
      <c r="C514" t="s">
        <v>7</v>
      </c>
      <c r="D514">
        <v>456100</v>
      </c>
    </row>
    <row r="515" spans="1:4" x14ac:dyDescent="0.25">
      <c r="A515" s="2">
        <v>42248</v>
      </c>
      <c r="B515" t="s">
        <v>114</v>
      </c>
      <c r="C515" t="s">
        <v>6</v>
      </c>
      <c r="D515">
        <v>3421300</v>
      </c>
    </row>
    <row r="516" spans="1:4" x14ac:dyDescent="0.25">
      <c r="A516" s="2">
        <v>42278</v>
      </c>
      <c r="B516" t="s">
        <v>5</v>
      </c>
      <c r="C516" t="s">
        <v>7</v>
      </c>
      <c r="D516">
        <v>188000</v>
      </c>
    </row>
    <row r="517" spans="1:4" x14ac:dyDescent="0.25">
      <c r="A517" s="2">
        <v>42278</v>
      </c>
      <c r="B517" t="s">
        <v>5</v>
      </c>
      <c r="C517" t="s">
        <v>6</v>
      </c>
      <c r="D517">
        <v>64800</v>
      </c>
    </row>
    <row r="518" spans="1:4" x14ac:dyDescent="0.25">
      <c r="A518" s="2">
        <v>42278</v>
      </c>
      <c r="B518" t="s">
        <v>18</v>
      </c>
      <c r="C518" t="s">
        <v>7</v>
      </c>
      <c r="D518">
        <v>2718400</v>
      </c>
    </row>
    <row r="519" spans="1:4" x14ac:dyDescent="0.25">
      <c r="A519" s="2">
        <v>42278</v>
      </c>
      <c r="B519" t="s">
        <v>18</v>
      </c>
      <c r="C519" t="s">
        <v>6</v>
      </c>
      <c r="D519">
        <v>1294400</v>
      </c>
    </row>
    <row r="520" spans="1:4" x14ac:dyDescent="0.25">
      <c r="A520" s="2">
        <v>42278</v>
      </c>
      <c r="B520" t="s">
        <v>114</v>
      </c>
      <c r="C520" t="s">
        <v>7</v>
      </c>
      <c r="D520">
        <v>448400</v>
      </c>
    </row>
    <row r="521" spans="1:4" x14ac:dyDescent="0.25">
      <c r="A521" s="2">
        <v>42278</v>
      </c>
      <c r="B521" t="s">
        <v>114</v>
      </c>
      <c r="C521" t="s">
        <v>6</v>
      </c>
      <c r="D521">
        <v>3451000</v>
      </c>
    </row>
    <row r="522" spans="1:4" x14ac:dyDescent="0.25">
      <c r="A522" s="2">
        <v>42309</v>
      </c>
      <c r="B522" t="s">
        <v>5</v>
      </c>
      <c r="C522" t="s">
        <v>7</v>
      </c>
      <c r="D522">
        <v>175400</v>
      </c>
    </row>
    <row r="523" spans="1:4" x14ac:dyDescent="0.25">
      <c r="A523" s="2">
        <v>42309</v>
      </c>
      <c r="B523" t="s">
        <v>5</v>
      </c>
      <c r="C523" t="s">
        <v>6</v>
      </c>
      <c r="D523">
        <v>52000</v>
      </c>
    </row>
    <row r="524" spans="1:4" x14ac:dyDescent="0.25">
      <c r="A524" s="2">
        <v>42309</v>
      </c>
      <c r="B524" t="s">
        <v>18</v>
      </c>
      <c r="C524" t="s">
        <v>7</v>
      </c>
      <c r="D524">
        <v>2725000</v>
      </c>
    </row>
    <row r="525" spans="1:4" x14ac:dyDescent="0.25">
      <c r="A525" s="2">
        <v>42309</v>
      </c>
      <c r="B525" t="s">
        <v>18</v>
      </c>
      <c r="C525" t="s">
        <v>6</v>
      </c>
      <c r="D525">
        <v>1231100</v>
      </c>
    </row>
    <row r="526" spans="1:4" x14ac:dyDescent="0.25">
      <c r="A526" s="2">
        <v>42309</v>
      </c>
      <c r="B526" t="s">
        <v>114</v>
      </c>
      <c r="C526" t="s">
        <v>7</v>
      </c>
      <c r="D526">
        <v>70000000</v>
      </c>
    </row>
    <row r="527" spans="1:4" x14ac:dyDescent="0.25">
      <c r="A527" s="2">
        <v>42309</v>
      </c>
      <c r="B527" t="s">
        <v>114</v>
      </c>
      <c r="C527" t="s">
        <v>6</v>
      </c>
      <c r="D527">
        <v>3540300</v>
      </c>
    </row>
    <row r="528" spans="1:4" x14ac:dyDescent="0.25">
      <c r="A528" s="2">
        <v>42339</v>
      </c>
      <c r="B528" t="s">
        <v>5</v>
      </c>
      <c r="C528" t="s">
        <v>7</v>
      </c>
      <c r="D528">
        <v>172400</v>
      </c>
    </row>
    <row r="529" spans="1:4" x14ac:dyDescent="0.25">
      <c r="A529" s="2">
        <v>42339</v>
      </c>
      <c r="B529" t="s">
        <v>5</v>
      </c>
      <c r="C529" t="s">
        <v>6</v>
      </c>
      <c r="D529">
        <v>49200</v>
      </c>
    </row>
    <row r="530" spans="1:4" x14ac:dyDescent="0.25">
      <c r="A530" s="2">
        <v>42339</v>
      </c>
      <c r="B530" t="s">
        <v>18</v>
      </c>
      <c r="C530" t="s">
        <v>7</v>
      </c>
      <c r="D530">
        <v>2750100</v>
      </c>
    </row>
    <row r="531" spans="1:4" x14ac:dyDescent="0.25">
      <c r="A531" s="2">
        <v>42339</v>
      </c>
      <c r="B531" t="s">
        <v>18</v>
      </c>
      <c r="C531" t="s">
        <v>6</v>
      </c>
      <c r="D531">
        <v>1163400</v>
      </c>
    </row>
    <row r="532" spans="1:4" x14ac:dyDescent="0.25">
      <c r="A532" s="2">
        <v>42339</v>
      </c>
      <c r="B532" t="s">
        <v>114</v>
      </c>
      <c r="C532" t="s">
        <v>7</v>
      </c>
      <c r="D532">
        <v>447700</v>
      </c>
    </row>
    <row r="533" spans="1:4" x14ac:dyDescent="0.25">
      <c r="A533" s="2">
        <v>42339</v>
      </c>
      <c r="B533" t="s">
        <v>114</v>
      </c>
      <c r="C533" t="s">
        <v>6</v>
      </c>
      <c r="D533">
        <v>3628600</v>
      </c>
    </row>
    <row r="534" spans="1:4" x14ac:dyDescent="0.25">
      <c r="A534" s="2">
        <v>42370</v>
      </c>
      <c r="B534" t="s">
        <v>5</v>
      </c>
      <c r="C534" t="s">
        <v>7</v>
      </c>
      <c r="D534">
        <v>156800</v>
      </c>
    </row>
    <row r="535" spans="1:4" x14ac:dyDescent="0.25">
      <c r="A535" s="2">
        <v>42370</v>
      </c>
      <c r="B535" t="s">
        <v>5</v>
      </c>
      <c r="C535" t="s">
        <v>6</v>
      </c>
      <c r="D535">
        <v>46800</v>
      </c>
    </row>
    <row r="536" spans="1:4" x14ac:dyDescent="0.25">
      <c r="A536" s="2">
        <v>42370</v>
      </c>
      <c r="B536" t="s">
        <v>18</v>
      </c>
      <c r="C536" t="s">
        <v>7</v>
      </c>
      <c r="D536">
        <v>2759400</v>
      </c>
    </row>
    <row r="537" spans="1:4" x14ac:dyDescent="0.25">
      <c r="A537" s="2">
        <v>42370</v>
      </c>
      <c r="B537" t="s">
        <v>18</v>
      </c>
      <c r="C537" t="s">
        <v>6</v>
      </c>
      <c r="D537">
        <v>1124100</v>
      </c>
    </row>
    <row r="538" spans="1:4" x14ac:dyDescent="0.25">
      <c r="A538" s="2">
        <v>42370</v>
      </c>
      <c r="B538" t="s">
        <v>114</v>
      </c>
      <c r="C538" t="s">
        <v>7</v>
      </c>
      <c r="D538">
        <v>450900</v>
      </c>
    </row>
    <row r="539" spans="1:4" x14ac:dyDescent="0.25">
      <c r="A539" s="2">
        <v>42370</v>
      </c>
      <c r="B539" t="s">
        <v>114</v>
      </c>
      <c r="C539" t="s">
        <v>6</v>
      </c>
      <c r="D539">
        <v>3690100</v>
      </c>
    </row>
    <row r="540" spans="1:4" x14ac:dyDescent="0.25">
      <c r="A540" s="2">
        <v>42401</v>
      </c>
      <c r="B540" t="s">
        <v>5</v>
      </c>
      <c r="C540" t="s">
        <v>7</v>
      </c>
      <c r="D540">
        <v>39500</v>
      </c>
    </row>
    <row r="541" spans="1:4" x14ac:dyDescent="0.25">
      <c r="A541" s="2">
        <v>42401</v>
      </c>
      <c r="B541" t="s">
        <v>5</v>
      </c>
      <c r="C541" t="s">
        <v>6</v>
      </c>
      <c r="D541">
        <v>151800</v>
      </c>
    </row>
    <row r="542" spans="1:4" x14ac:dyDescent="0.25">
      <c r="A542" s="2">
        <v>42401</v>
      </c>
      <c r="B542" t="s">
        <v>18</v>
      </c>
      <c r="C542" t="s">
        <v>7</v>
      </c>
      <c r="D542">
        <v>2757700</v>
      </c>
    </row>
    <row r="543" spans="1:4" x14ac:dyDescent="0.25">
      <c r="A543" s="2">
        <v>42401</v>
      </c>
      <c r="B543" t="s">
        <v>18</v>
      </c>
      <c r="C543" t="s">
        <v>6</v>
      </c>
      <c r="D543">
        <v>1112400</v>
      </c>
    </row>
    <row r="544" spans="1:4" x14ac:dyDescent="0.25">
      <c r="A544" s="2">
        <v>42401</v>
      </c>
      <c r="B544" t="s">
        <v>114</v>
      </c>
      <c r="C544" t="s">
        <v>7</v>
      </c>
      <c r="D544">
        <v>449500</v>
      </c>
    </row>
    <row r="545" spans="1:4" x14ac:dyDescent="0.25">
      <c r="A545" s="2">
        <v>42401</v>
      </c>
      <c r="B545" t="s">
        <v>114</v>
      </c>
      <c r="C545" t="s">
        <v>6</v>
      </c>
      <c r="D545">
        <v>3725700</v>
      </c>
    </row>
    <row r="546" spans="1:4" x14ac:dyDescent="0.25">
      <c r="A546" s="2">
        <v>42430</v>
      </c>
      <c r="B546" t="s">
        <v>5</v>
      </c>
      <c r="C546" t="s">
        <v>7</v>
      </c>
      <c r="D546">
        <v>146300</v>
      </c>
    </row>
    <row r="547" spans="1:4" x14ac:dyDescent="0.25">
      <c r="A547" s="2">
        <v>42430</v>
      </c>
      <c r="B547" t="s">
        <v>5</v>
      </c>
      <c r="C547" t="s">
        <v>6</v>
      </c>
      <c r="D547">
        <v>38800</v>
      </c>
    </row>
    <row r="548" spans="1:4" x14ac:dyDescent="0.25">
      <c r="A548" s="2">
        <v>42430</v>
      </c>
      <c r="B548" t="s">
        <v>18</v>
      </c>
      <c r="C548" t="s">
        <v>7</v>
      </c>
      <c r="D548">
        <v>2741400</v>
      </c>
    </row>
    <row r="549" spans="1:4" x14ac:dyDescent="0.25">
      <c r="A549" s="2">
        <v>42430</v>
      </c>
      <c r="B549" t="s">
        <v>18</v>
      </c>
      <c r="C549" t="s">
        <v>6</v>
      </c>
      <c r="D549">
        <v>1064900</v>
      </c>
    </row>
    <row r="550" spans="1:4" x14ac:dyDescent="0.25">
      <c r="A550" s="2">
        <v>42430</v>
      </c>
      <c r="B550" t="s">
        <v>114</v>
      </c>
      <c r="C550" t="s">
        <v>7</v>
      </c>
      <c r="D550">
        <v>471200</v>
      </c>
    </row>
    <row r="551" spans="1:4" x14ac:dyDescent="0.25">
      <c r="A551" s="2">
        <v>42430</v>
      </c>
      <c r="B551" t="s">
        <v>114</v>
      </c>
      <c r="C551" t="s">
        <v>6</v>
      </c>
      <c r="D551">
        <v>3770500</v>
      </c>
    </row>
    <row r="552" spans="1:4" x14ac:dyDescent="0.25">
      <c r="A552" s="2">
        <v>42461</v>
      </c>
      <c r="B552" t="s">
        <v>5</v>
      </c>
      <c r="C552" t="s">
        <v>7</v>
      </c>
      <c r="D552">
        <v>141400</v>
      </c>
    </row>
    <row r="553" spans="1:4" x14ac:dyDescent="0.25">
      <c r="A553" s="2">
        <v>42461</v>
      </c>
      <c r="B553" t="s">
        <v>5</v>
      </c>
      <c r="C553" t="s">
        <v>6</v>
      </c>
      <c r="D553">
        <v>36200</v>
      </c>
    </row>
    <row r="554" spans="1:4" x14ac:dyDescent="0.25">
      <c r="A554" s="2">
        <v>42461</v>
      </c>
      <c r="B554" t="s">
        <v>18</v>
      </c>
      <c r="C554" t="s">
        <v>7</v>
      </c>
      <c r="D554">
        <v>2744100</v>
      </c>
    </row>
    <row r="555" spans="1:4" x14ac:dyDescent="0.25">
      <c r="A555" s="2">
        <v>42461</v>
      </c>
      <c r="B555" t="s">
        <v>18</v>
      </c>
      <c r="C555" t="s">
        <v>6</v>
      </c>
      <c r="D555">
        <v>1041600</v>
      </c>
    </row>
    <row r="556" spans="1:4" x14ac:dyDescent="0.25">
      <c r="A556" s="2">
        <v>42461</v>
      </c>
      <c r="B556" t="s">
        <v>114</v>
      </c>
      <c r="C556" t="s">
        <v>7</v>
      </c>
      <c r="D556">
        <v>476200</v>
      </c>
    </row>
    <row r="557" spans="1:4" x14ac:dyDescent="0.25">
      <c r="A557" s="2">
        <v>42461</v>
      </c>
      <c r="B557" t="s">
        <v>114</v>
      </c>
      <c r="C557" t="s">
        <v>6</v>
      </c>
      <c r="D557">
        <v>3814400</v>
      </c>
    </row>
    <row r="558" spans="1:4" x14ac:dyDescent="0.25">
      <c r="A558" s="2">
        <v>42491</v>
      </c>
      <c r="B558" t="s">
        <v>5</v>
      </c>
      <c r="C558" t="s">
        <v>7</v>
      </c>
      <c r="D558">
        <v>136800</v>
      </c>
    </row>
    <row r="559" spans="1:4" x14ac:dyDescent="0.25">
      <c r="A559" s="2">
        <v>42491</v>
      </c>
      <c r="B559" t="s">
        <v>5</v>
      </c>
      <c r="C559" t="s">
        <v>6</v>
      </c>
      <c r="D559">
        <v>35300</v>
      </c>
    </row>
    <row r="560" spans="1:4" x14ac:dyDescent="0.25">
      <c r="A560" s="2">
        <v>42491</v>
      </c>
      <c r="B560" t="s">
        <v>18</v>
      </c>
      <c r="C560" t="s">
        <v>7</v>
      </c>
      <c r="D560">
        <v>2732200</v>
      </c>
    </row>
    <row r="561" spans="1:4" x14ac:dyDescent="0.25">
      <c r="A561" s="2">
        <v>42491</v>
      </c>
      <c r="B561" t="s">
        <v>18</v>
      </c>
      <c r="C561" t="s">
        <v>6</v>
      </c>
      <c r="D561">
        <v>992900</v>
      </c>
    </row>
    <row r="562" spans="1:4" x14ac:dyDescent="0.25">
      <c r="A562" s="2">
        <v>42491</v>
      </c>
      <c r="B562" t="s">
        <v>114</v>
      </c>
      <c r="C562" t="s">
        <v>7</v>
      </c>
      <c r="D562">
        <v>511700</v>
      </c>
    </row>
    <row r="563" spans="1:4" x14ac:dyDescent="0.25">
      <c r="A563" s="2">
        <v>42491</v>
      </c>
      <c r="B563" t="s">
        <v>114</v>
      </c>
      <c r="C563" t="s">
        <v>6</v>
      </c>
      <c r="D563">
        <v>3862100</v>
      </c>
    </row>
    <row r="564" spans="1:4" x14ac:dyDescent="0.25">
      <c r="A564" s="2">
        <v>42522</v>
      </c>
      <c r="B564" t="s">
        <v>5</v>
      </c>
      <c r="C564" t="s">
        <v>7</v>
      </c>
      <c r="D564">
        <v>133000</v>
      </c>
    </row>
    <row r="565" spans="1:4" x14ac:dyDescent="0.25">
      <c r="A565" s="2">
        <v>42522</v>
      </c>
      <c r="B565" t="s">
        <v>5</v>
      </c>
      <c r="C565" t="s">
        <v>6</v>
      </c>
      <c r="D565">
        <v>34700</v>
      </c>
    </row>
    <row r="566" spans="1:4" x14ac:dyDescent="0.25">
      <c r="A566" s="2">
        <v>42522</v>
      </c>
      <c r="B566" t="s">
        <v>18</v>
      </c>
      <c r="C566" t="s">
        <v>7</v>
      </c>
      <c r="D566">
        <v>2727700</v>
      </c>
    </row>
    <row r="567" spans="1:4" x14ac:dyDescent="0.25">
      <c r="A567" s="2">
        <v>42522</v>
      </c>
      <c r="B567" t="s">
        <v>18</v>
      </c>
      <c r="C567" t="s">
        <v>6</v>
      </c>
      <c r="D567">
        <v>970500</v>
      </c>
    </row>
    <row r="568" spans="1:4" x14ac:dyDescent="0.25">
      <c r="A568" s="2">
        <v>42522</v>
      </c>
      <c r="B568" t="s">
        <v>114</v>
      </c>
      <c r="C568" t="s">
        <v>7</v>
      </c>
      <c r="D568">
        <v>541300</v>
      </c>
    </row>
    <row r="569" spans="1:4" x14ac:dyDescent="0.25">
      <c r="A569" s="2">
        <v>42522</v>
      </c>
      <c r="B569" t="s">
        <v>114</v>
      </c>
      <c r="C569" t="s">
        <v>6</v>
      </c>
      <c r="D569">
        <v>3901000</v>
      </c>
    </row>
    <row r="570" spans="1:4" x14ac:dyDescent="0.25">
      <c r="A570" s="2">
        <v>42552</v>
      </c>
      <c r="B570" t="s">
        <v>5</v>
      </c>
      <c r="C570" t="s">
        <v>7</v>
      </c>
      <c r="D570">
        <v>129800</v>
      </c>
    </row>
    <row r="571" spans="1:4" x14ac:dyDescent="0.25">
      <c r="A571" s="2">
        <v>42552</v>
      </c>
      <c r="B571" t="s">
        <v>5</v>
      </c>
      <c r="C571" t="s">
        <v>6</v>
      </c>
      <c r="D571">
        <v>33800</v>
      </c>
    </row>
    <row r="572" spans="1:4" x14ac:dyDescent="0.25">
      <c r="A572" s="2">
        <v>42552</v>
      </c>
      <c r="B572" t="s">
        <v>18</v>
      </c>
      <c r="C572" t="s">
        <v>7</v>
      </c>
      <c r="D572">
        <v>2751000</v>
      </c>
    </row>
    <row r="573" spans="1:4" x14ac:dyDescent="0.25">
      <c r="A573" s="2">
        <v>42552</v>
      </c>
      <c r="B573" t="s">
        <v>18</v>
      </c>
      <c r="C573" t="s">
        <v>6</v>
      </c>
      <c r="D573">
        <v>953700</v>
      </c>
    </row>
    <row r="574" spans="1:4" x14ac:dyDescent="0.25">
      <c r="A574" s="2">
        <v>42552</v>
      </c>
      <c r="B574" t="s">
        <v>114</v>
      </c>
      <c r="C574" t="s">
        <v>7</v>
      </c>
      <c r="D574">
        <v>549500</v>
      </c>
    </row>
    <row r="575" spans="1:4" x14ac:dyDescent="0.25">
      <c r="A575" s="2">
        <v>42552</v>
      </c>
      <c r="B575" t="s">
        <v>114</v>
      </c>
      <c r="C575" t="s">
        <v>6</v>
      </c>
      <c r="D575">
        <v>3931400</v>
      </c>
    </row>
    <row r="576" spans="1:4" x14ac:dyDescent="0.25">
      <c r="A576" s="2">
        <v>42583</v>
      </c>
      <c r="B576" t="s">
        <v>5</v>
      </c>
      <c r="C576" t="s">
        <v>7</v>
      </c>
      <c r="D576">
        <v>127200</v>
      </c>
    </row>
    <row r="577" spans="1:4" x14ac:dyDescent="0.25">
      <c r="A577" s="2">
        <v>42583</v>
      </c>
      <c r="B577" t="s">
        <v>5</v>
      </c>
      <c r="C577" t="s">
        <v>6</v>
      </c>
      <c r="D577">
        <v>33200</v>
      </c>
    </row>
    <row r="578" spans="1:4" x14ac:dyDescent="0.25">
      <c r="A578" s="2">
        <v>42583</v>
      </c>
      <c r="B578" t="s">
        <v>18</v>
      </c>
      <c r="C578" t="s">
        <v>7</v>
      </c>
      <c r="D578">
        <v>2706000</v>
      </c>
    </row>
    <row r="579" spans="1:4" x14ac:dyDescent="0.25">
      <c r="A579" s="2">
        <v>42583</v>
      </c>
      <c r="B579" t="s">
        <v>18</v>
      </c>
      <c r="C579" t="s">
        <v>6</v>
      </c>
      <c r="D579">
        <v>928800</v>
      </c>
    </row>
    <row r="580" spans="1:4" x14ac:dyDescent="0.25">
      <c r="A580" s="2">
        <v>42583</v>
      </c>
      <c r="B580" t="s">
        <v>114</v>
      </c>
      <c r="C580" t="s">
        <v>7</v>
      </c>
      <c r="D580">
        <v>600000</v>
      </c>
    </row>
    <row r="581" spans="1:4" x14ac:dyDescent="0.25">
      <c r="A581" s="2">
        <v>42583</v>
      </c>
      <c r="B581" t="s">
        <v>114</v>
      </c>
      <c r="C581" t="s">
        <v>6</v>
      </c>
      <c r="D581">
        <v>3971400</v>
      </c>
    </row>
    <row r="582" spans="1:4" x14ac:dyDescent="0.25">
      <c r="A582" s="2">
        <v>42614</v>
      </c>
      <c r="B582" t="s">
        <v>5</v>
      </c>
      <c r="C582" t="s">
        <v>7</v>
      </c>
      <c r="D582">
        <v>110600</v>
      </c>
    </row>
    <row r="583" spans="1:4" x14ac:dyDescent="0.25">
      <c r="A583" s="2">
        <v>42614</v>
      </c>
      <c r="B583" t="s">
        <v>5</v>
      </c>
      <c r="C583" t="s">
        <v>6</v>
      </c>
      <c r="D583">
        <v>32700</v>
      </c>
    </row>
    <row r="584" spans="1:4" x14ac:dyDescent="0.25">
      <c r="A584" s="2">
        <v>42614</v>
      </c>
      <c r="B584" t="s">
        <v>18</v>
      </c>
      <c r="C584" t="s">
        <v>7</v>
      </c>
      <c r="D584">
        <v>2712400</v>
      </c>
    </row>
    <row r="585" spans="1:4" x14ac:dyDescent="0.25">
      <c r="A585" s="2">
        <v>42614</v>
      </c>
      <c r="B585" t="s">
        <v>18</v>
      </c>
      <c r="C585" t="s">
        <v>6</v>
      </c>
      <c r="D585">
        <v>908100</v>
      </c>
    </row>
    <row r="586" spans="1:4" x14ac:dyDescent="0.25">
      <c r="A586" s="2">
        <v>42614</v>
      </c>
      <c r="B586" t="s">
        <v>114</v>
      </c>
      <c r="C586" t="s">
        <v>7</v>
      </c>
      <c r="D586">
        <v>614200</v>
      </c>
    </row>
    <row r="587" spans="1:4" x14ac:dyDescent="0.25">
      <c r="A587" s="2">
        <v>42614</v>
      </c>
      <c r="B587" t="s">
        <v>114</v>
      </c>
      <c r="C587" t="s">
        <v>6</v>
      </c>
      <c r="D587">
        <v>3996000</v>
      </c>
    </row>
    <row r="588" spans="1:4" x14ac:dyDescent="0.25">
      <c r="A588" s="2">
        <v>42644</v>
      </c>
      <c r="B588" t="s">
        <v>5</v>
      </c>
      <c r="C588" t="s">
        <v>7</v>
      </c>
      <c r="D588">
        <v>107600</v>
      </c>
    </row>
    <row r="589" spans="1:4" x14ac:dyDescent="0.25">
      <c r="A589" s="2">
        <v>42644</v>
      </c>
      <c r="B589" t="s">
        <v>5</v>
      </c>
      <c r="C589" t="s">
        <v>6</v>
      </c>
      <c r="D589">
        <v>32200</v>
      </c>
    </row>
    <row r="590" spans="1:4" x14ac:dyDescent="0.25">
      <c r="A590" s="2">
        <v>42644</v>
      </c>
      <c r="B590" t="s">
        <v>18</v>
      </c>
      <c r="C590" t="s">
        <v>7</v>
      </c>
      <c r="D590">
        <v>2676400</v>
      </c>
    </row>
    <row r="591" spans="1:4" x14ac:dyDescent="0.25">
      <c r="A591" s="2">
        <v>42644</v>
      </c>
      <c r="B591" t="s">
        <v>18</v>
      </c>
      <c r="C591" t="s">
        <v>6</v>
      </c>
      <c r="D591">
        <v>890800</v>
      </c>
    </row>
    <row r="592" spans="1:4" x14ac:dyDescent="0.25">
      <c r="A592" s="2">
        <v>42644</v>
      </c>
      <c r="B592" t="s">
        <v>114</v>
      </c>
      <c r="C592" t="s">
        <v>7</v>
      </c>
      <c r="D592">
        <v>631400</v>
      </c>
    </row>
    <row r="593" spans="1:4" x14ac:dyDescent="0.25">
      <c r="A593" s="2">
        <v>42644</v>
      </c>
      <c r="B593" t="s">
        <v>114</v>
      </c>
      <c r="C593" t="s">
        <v>6</v>
      </c>
      <c r="D593">
        <v>4024000</v>
      </c>
    </row>
    <row r="594" spans="1:4" x14ac:dyDescent="0.25">
      <c r="A594" s="2">
        <v>42675</v>
      </c>
      <c r="B594" t="s">
        <v>5</v>
      </c>
      <c r="C594" t="s">
        <v>7</v>
      </c>
      <c r="D594">
        <v>104700</v>
      </c>
    </row>
    <row r="595" spans="1:4" x14ac:dyDescent="0.25">
      <c r="A595" s="2">
        <v>42675</v>
      </c>
      <c r="B595" t="s">
        <v>5</v>
      </c>
      <c r="C595" t="s">
        <v>6</v>
      </c>
      <c r="D595">
        <v>31600</v>
      </c>
    </row>
    <row r="596" spans="1:4" x14ac:dyDescent="0.25">
      <c r="A596" s="2">
        <v>42675</v>
      </c>
      <c r="B596" t="s">
        <v>18</v>
      </c>
      <c r="C596" t="s">
        <v>7</v>
      </c>
      <c r="D596">
        <v>2665200</v>
      </c>
    </row>
    <row r="597" spans="1:4" x14ac:dyDescent="0.25">
      <c r="A597" s="2">
        <v>42675</v>
      </c>
      <c r="B597" t="s">
        <v>18</v>
      </c>
      <c r="C597" t="s">
        <v>6</v>
      </c>
      <c r="D597">
        <v>875300</v>
      </c>
    </row>
    <row r="598" spans="1:4" x14ac:dyDescent="0.25">
      <c r="A598" s="2">
        <v>42675</v>
      </c>
      <c r="B598" t="s">
        <v>114</v>
      </c>
      <c r="C598" t="s">
        <v>7</v>
      </c>
      <c r="D598">
        <v>639000</v>
      </c>
    </row>
    <row r="599" spans="1:4" x14ac:dyDescent="0.25">
      <c r="A599" s="2">
        <v>42675</v>
      </c>
      <c r="B599" t="s">
        <v>114</v>
      </c>
      <c r="C599" t="s">
        <v>6</v>
      </c>
      <c r="D599">
        <v>4050900</v>
      </c>
    </row>
    <row r="600" spans="1:4" x14ac:dyDescent="0.25">
      <c r="A600" s="2">
        <v>42705</v>
      </c>
      <c r="B600" t="s">
        <v>5</v>
      </c>
      <c r="C600" t="s">
        <v>7</v>
      </c>
      <c r="D600">
        <v>101400</v>
      </c>
    </row>
    <row r="601" spans="1:4" x14ac:dyDescent="0.25">
      <c r="A601" s="2">
        <v>42705</v>
      </c>
      <c r="B601" t="s">
        <v>5</v>
      </c>
      <c r="C601" t="s">
        <v>6</v>
      </c>
      <c r="D601">
        <v>30900</v>
      </c>
    </row>
    <row r="602" spans="1:4" x14ac:dyDescent="0.25">
      <c r="A602" s="2">
        <v>42705</v>
      </c>
      <c r="B602" t="s">
        <v>18</v>
      </c>
      <c r="C602" t="s">
        <v>7</v>
      </c>
      <c r="D602">
        <v>2556400</v>
      </c>
    </row>
    <row r="603" spans="1:4" x14ac:dyDescent="0.25">
      <c r="A603" s="2">
        <v>42705</v>
      </c>
      <c r="B603" t="s">
        <v>18</v>
      </c>
      <c r="C603" t="s">
        <v>6</v>
      </c>
      <c r="D603">
        <v>855700</v>
      </c>
    </row>
    <row r="604" spans="1:4" x14ac:dyDescent="0.25">
      <c r="A604" s="2">
        <v>42705</v>
      </c>
      <c r="B604" t="s">
        <v>114</v>
      </c>
      <c r="C604" t="s">
        <v>7</v>
      </c>
      <c r="D604">
        <v>770100</v>
      </c>
    </row>
    <row r="605" spans="1:4" x14ac:dyDescent="0.25">
      <c r="A605" s="2">
        <v>42705</v>
      </c>
      <c r="B605" t="s">
        <v>114</v>
      </c>
      <c r="C605" t="s">
        <v>6</v>
      </c>
      <c r="D605">
        <v>4085100</v>
      </c>
    </row>
    <row r="606" spans="1:4" x14ac:dyDescent="0.25">
      <c r="A606" s="2">
        <v>42736</v>
      </c>
      <c r="B606" t="s">
        <v>5</v>
      </c>
      <c r="C606" t="s">
        <v>7</v>
      </c>
      <c r="D606">
        <v>30300</v>
      </c>
    </row>
    <row r="607" spans="1:4" x14ac:dyDescent="0.25">
      <c r="A607" s="2">
        <v>42736</v>
      </c>
      <c r="B607" t="s">
        <v>5</v>
      </c>
      <c r="C607" t="s">
        <v>6</v>
      </c>
      <c r="D607">
        <v>98700</v>
      </c>
    </row>
    <row r="608" spans="1:4" x14ac:dyDescent="0.25">
      <c r="A608" s="2">
        <v>42736</v>
      </c>
      <c r="B608" t="s">
        <v>18</v>
      </c>
      <c r="C608" t="s">
        <v>7</v>
      </c>
      <c r="D608">
        <v>817000</v>
      </c>
    </row>
    <row r="609" spans="1:4" x14ac:dyDescent="0.25">
      <c r="A609" s="2">
        <v>42736</v>
      </c>
      <c r="B609" t="s">
        <v>18</v>
      </c>
      <c r="C609" t="s">
        <v>6</v>
      </c>
      <c r="D609">
        <v>1828500</v>
      </c>
    </row>
    <row r="610" spans="1:4" x14ac:dyDescent="0.25">
      <c r="A610" s="2">
        <v>42736</v>
      </c>
      <c r="B610" t="s">
        <v>114</v>
      </c>
      <c r="C610" t="s">
        <v>7</v>
      </c>
      <c r="D610">
        <v>4140400</v>
      </c>
    </row>
    <row r="611" spans="1:4" x14ac:dyDescent="0.25">
      <c r="A611" s="2">
        <v>42736</v>
      </c>
      <c r="B611" t="s">
        <v>114</v>
      </c>
      <c r="C611" t="s">
        <v>6</v>
      </c>
      <c r="D611">
        <v>1484900</v>
      </c>
    </row>
    <row r="612" spans="1:4" x14ac:dyDescent="0.25">
      <c r="A612" s="2">
        <v>42767</v>
      </c>
      <c r="B612" t="s">
        <v>5</v>
      </c>
      <c r="C612" t="s">
        <v>7</v>
      </c>
      <c r="D612">
        <v>29400</v>
      </c>
    </row>
    <row r="613" spans="1:4" x14ac:dyDescent="0.25">
      <c r="A613" s="2">
        <v>42767</v>
      </c>
      <c r="B613" t="s">
        <v>5</v>
      </c>
      <c r="C613" t="s">
        <v>6</v>
      </c>
      <c r="D613">
        <v>95800</v>
      </c>
    </row>
    <row r="614" spans="1:4" x14ac:dyDescent="0.25">
      <c r="A614" s="2">
        <v>42767</v>
      </c>
      <c r="B614" t="s">
        <v>18</v>
      </c>
      <c r="C614" t="s">
        <v>7</v>
      </c>
      <c r="D614">
        <v>806700</v>
      </c>
    </row>
    <row r="615" spans="1:4" x14ac:dyDescent="0.25">
      <c r="A615" s="2">
        <v>42767</v>
      </c>
      <c r="B615" t="s">
        <v>18</v>
      </c>
      <c r="C615" t="s">
        <v>6</v>
      </c>
      <c r="D615">
        <v>1748200</v>
      </c>
    </row>
    <row r="616" spans="1:4" x14ac:dyDescent="0.25">
      <c r="A616" s="2">
        <v>42767</v>
      </c>
      <c r="B616" t="s">
        <v>114</v>
      </c>
      <c r="C616" t="s">
        <v>7</v>
      </c>
      <c r="D616">
        <v>4163400</v>
      </c>
    </row>
    <row r="617" spans="1:4" x14ac:dyDescent="0.25">
      <c r="A617" s="2">
        <v>42767</v>
      </c>
      <c r="B617" t="s">
        <v>114</v>
      </c>
      <c r="C617" t="s">
        <v>6</v>
      </c>
      <c r="D617">
        <v>1561300</v>
      </c>
    </row>
    <row r="618" spans="1:4" x14ac:dyDescent="0.25">
      <c r="A618" s="2">
        <v>42795</v>
      </c>
      <c r="B618" t="s">
        <v>5</v>
      </c>
      <c r="C618" t="s">
        <v>7</v>
      </c>
      <c r="D618">
        <v>25000</v>
      </c>
    </row>
    <row r="619" spans="1:4" x14ac:dyDescent="0.25">
      <c r="A619" s="2">
        <v>42795</v>
      </c>
      <c r="B619" t="s">
        <v>5</v>
      </c>
      <c r="C619" t="s">
        <v>6</v>
      </c>
      <c r="D619">
        <v>89700</v>
      </c>
    </row>
    <row r="620" spans="1:4" x14ac:dyDescent="0.25">
      <c r="A620" s="2">
        <v>42795</v>
      </c>
      <c r="B620" t="s">
        <v>18</v>
      </c>
      <c r="C620" t="s">
        <v>7</v>
      </c>
      <c r="D620">
        <v>794400</v>
      </c>
    </row>
    <row r="621" spans="1:4" x14ac:dyDescent="0.25">
      <c r="A621" s="2">
        <v>42795</v>
      </c>
      <c r="B621" t="s">
        <v>18</v>
      </c>
      <c r="C621" t="s">
        <v>6</v>
      </c>
      <c r="D621">
        <v>1718600</v>
      </c>
    </row>
    <row r="622" spans="1:4" x14ac:dyDescent="0.25">
      <c r="A622" s="2">
        <v>42795</v>
      </c>
      <c r="B622" t="s">
        <v>114</v>
      </c>
      <c r="C622" t="s">
        <v>7</v>
      </c>
      <c r="D622">
        <v>4225800</v>
      </c>
    </row>
    <row r="623" spans="1:4" x14ac:dyDescent="0.25">
      <c r="A623" s="2">
        <v>42795</v>
      </c>
      <c r="B623" t="s">
        <v>114</v>
      </c>
      <c r="C623" t="s">
        <v>6</v>
      </c>
      <c r="D623">
        <v>1607100</v>
      </c>
    </row>
    <row r="624" spans="1:4" x14ac:dyDescent="0.25">
      <c r="A624" s="2">
        <v>42826</v>
      </c>
      <c r="B624" t="s">
        <v>5</v>
      </c>
      <c r="C624" t="s">
        <v>7</v>
      </c>
      <c r="D624">
        <v>0</v>
      </c>
    </row>
    <row r="625" spans="1:4" x14ac:dyDescent="0.25">
      <c r="A625" s="2">
        <v>42826</v>
      </c>
      <c r="B625" t="s">
        <v>5</v>
      </c>
      <c r="C625" t="s">
        <v>6</v>
      </c>
      <c r="D625">
        <v>0</v>
      </c>
    </row>
    <row r="626" spans="1:4" x14ac:dyDescent="0.25">
      <c r="A626" s="2">
        <v>42826</v>
      </c>
      <c r="B626" t="s">
        <v>18</v>
      </c>
      <c r="C626" t="s">
        <v>7</v>
      </c>
      <c r="D626">
        <v>805000</v>
      </c>
    </row>
    <row r="627" spans="1:4" x14ac:dyDescent="0.25">
      <c r="A627" s="2">
        <v>42826</v>
      </c>
      <c r="B627" t="s">
        <v>18</v>
      </c>
      <c r="C627" t="s">
        <v>6</v>
      </c>
      <c r="D627">
        <v>1760900</v>
      </c>
    </row>
    <row r="628" spans="1:4" x14ac:dyDescent="0.25">
      <c r="A628" s="2">
        <v>42826</v>
      </c>
      <c r="B628" t="s">
        <v>114</v>
      </c>
      <c r="C628" t="s">
        <v>7</v>
      </c>
      <c r="D628">
        <v>4260100</v>
      </c>
    </row>
    <row r="629" spans="1:4" x14ac:dyDescent="0.25">
      <c r="A629" s="2">
        <v>42826</v>
      </c>
      <c r="B629" t="s">
        <v>114</v>
      </c>
      <c r="C629" t="s">
        <v>6</v>
      </c>
      <c r="D629">
        <v>1642400</v>
      </c>
    </row>
    <row r="630" spans="1:4" x14ac:dyDescent="0.25">
      <c r="A630" s="2">
        <v>42856</v>
      </c>
      <c r="B630" t="s">
        <v>5</v>
      </c>
      <c r="C630" t="s">
        <v>7</v>
      </c>
      <c r="D630">
        <v>0</v>
      </c>
    </row>
    <row r="631" spans="1:4" x14ac:dyDescent="0.25">
      <c r="A631" s="2">
        <v>42856</v>
      </c>
      <c r="B631" t="s">
        <v>5</v>
      </c>
      <c r="C631" t="s">
        <v>6</v>
      </c>
      <c r="D631">
        <v>0</v>
      </c>
    </row>
    <row r="632" spans="1:4" x14ac:dyDescent="0.25">
      <c r="A632" s="2">
        <v>42856</v>
      </c>
      <c r="B632" t="s">
        <v>18</v>
      </c>
      <c r="C632" t="s">
        <v>7</v>
      </c>
      <c r="D632">
        <v>787900</v>
      </c>
    </row>
    <row r="633" spans="1:4" x14ac:dyDescent="0.25">
      <c r="A633" s="2">
        <v>42856</v>
      </c>
      <c r="B633" t="s">
        <v>18</v>
      </c>
      <c r="C633" t="s">
        <v>6</v>
      </c>
      <c r="D633">
        <v>1730500</v>
      </c>
    </row>
    <row r="634" spans="1:4" x14ac:dyDescent="0.25">
      <c r="A634" s="2">
        <v>42856</v>
      </c>
      <c r="B634" t="s">
        <v>114</v>
      </c>
      <c r="C634" t="s">
        <v>7</v>
      </c>
      <c r="D634">
        <v>4275400</v>
      </c>
    </row>
    <row r="635" spans="1:4" x14ac:dyDescent="0.25">
      <c r="A635" s="2">
        <v>42856</v>
      </c>
      <c r="B635" t="s">
        <v>114</v>
      </c>
      <c r="C635" t="s">
        <v>6</v>
      </c>
      <c r="D635">
        <v>1667600</v>
      </c>
    </row>
    <row r="636" spans="1:4" x14ac:dyDescent="0.25">
      <c r="A636" s="2">
        <v>42887</v>
      </c>
      <c r="B636" t="s">
        <v>5</v>
      </c>
      <c r="C636" t="s">
        <v>7</v>
      </c>
      <c r="D636">
        <v>0</v>
      </c>
    </row>
    <row r="637" spans="1:4" x14ac:dyDescent="0.25">
      <c r="A637" s="2">
        <v>42887</v>
      </c>
      <c r="B637" t="s">
        <v>5</v>
      </c>
      <c r="C637" t="s">
        <v>6</v>
      </c>
      <c r="D637">
        <v>0</v>
      </c>
    </row>
    <row r="638" spans="1:4" x14ac:dyDescent="0.25">
      <c r="A638" s="2">
        <v>42887</v>
      </c>
      <c r="B638" t="s">
        <v>18</v>
      </c>
      <c r="C638" t="s">
        <v>7</v>
      </c>
      <c r="D638">
        <v>771200</v>
      </c>
    </row>
    <row r="639" spans="1:4" x14ac:dyDescent="0.25">
      <c r="A639" s="2">
        <v>42887</v>
      </c>
      <c r="B639" t="s">
        <v>18</v>
      </c>
      <c r="C639" t="s">
        <v>6</v>
      </c>
      <c r="D639">
        <v>1718500</v>
      </c>
    </row>
    <row r="640" spans="1:4" x14ac:dyDescent="0.25">
      <c r="A640" s="2">
        <v>42887</v>
      </c>
      <c r="B640" t="s">
        <v>114</v>
      </c>
      <c r="C640" t="s">
        <v>7</v>
      </c>
      <c r="D640">
        <v>4298400</v>
      </c>
    </row>
    <row r="641" spans="1:4" x14ac:dyDescent="0.25">
      <c r="A641" s="2">
        <v>42887</v>
      </c>
      <c r="B641" t="s">
        <v>114</v>
      </c>
      <c r="C641" t="s">
        <v>6</v>
      </c>
      <c r="D641">
        <v>1676400</v>
      </c>
    </row>
    <row r="642" spans="1:4" x14ac:dyDescent="0.25">
      <c r="A642" s="2">
        <v>42917</v>
      </c>
      <c r="B642" t="s">
        <v>5</v>
      </c>
      <c r="C642" t="s">
        <v>7</v>
      </c>
      <c r="D642">
        <v>0</v>
      </c>
    </row>
    <row r="643" spans="1:4" x14ac:dyDescent="0.25">
      <c r="A643" s="2">
        <v>42917</v>
      </c>
      <c r="B643" t="s">
        <v>5</v>
      </c>
      <c r="C643" t="s">
        <v>6</v>
      </c>
      <c r="D643">
        <v>0</v>
      </c>
    </row>
    <row r="644" spans="1:4" x14ac:dyDescent="0.25">
      <c r="A644" s="2">
        <v>42917</v>
      </c>
      <c r="B644" t="s">
        <v>18</v>
      </c>
      <c r="C644" t="s">
        <v>7</v>
      </c>
      <c r="D644">
        <v>760700</v>
      </c>
    </row>
    <row r="645" spans="1:4" x14ac:dyDescent="0.25">
      <c r="A645" s="2">
        <v>42917</v>
      </c>
      <c r="B645" t="s">
        <v>18</v>
      </c>
      <c r="C645" t="s">
        <v>6</v>
      </c>
      <c r="D645">
        <v>1703000</v>
      </c>
    </row>
    <row r="646" spans="1:4" x14ac:dyDescent="0.25">
      <c r="A646" s="2">
        <v>42917</v>
      </c>
      <c r="B646" t="s">
        <v>114</v>
      </c>
      <c r="C646" t="s">
        <v>7</v>
      </c>
      <c r="D646">
        <v>4329100</v>
      </c>
    </row>
    <row r="647" spans="1:4" x14ac:dyDescent="0.25">
      <c r="A647" s="2">
        <v>42917</v>
      </c>
      <c r="B647" t="s">
        <v>114</v>
      </c>
      <c r="C647" t="s">
        <v>6</v>
      </c>
      <c r="D647">
        <v>1690000</v>
      </c>
    </row>
    <row r="648" spans="1:4" x14ac:dyDescent="0.25">
      <c r="A648" s="2">
        <v>42948</v>
      </c>
      <c r="B648" t="s">
        <v>5</v>
      </c>
      <c r="C648" t="s">
        <v>7</v>
      </c>
      <c r="D648">
        <v>0</v>
      </c>
    </row>
    <row r="649" spans="1:4" x14ac:dyDescent="0.25">
      <c r="A649" s="2">
        <v>42948</v>
      </c>
      <c r="B649" t="s">
        <v>5</v>
      </c>
      <c r="C649" t="s">
        <v>6</v>
      </c>
      <c r="D649">
        <v>0</v>
      </c>
    </row>
    <row r="650" spans="1:4" x14ac:dyDescent="0.25">
      <c r="A650" s="2">
        <v>42948</v>
      </c>
      <c r="B650" t="s">
        <v>18</v>
      </c>
      <c r="C650" t="s">
        <v>7</v>
      </c>
      <c r="D650">
        <v>702100</v>
      </c>
    </row>
    <row r="651" spans="1:4" x14ac:dyDescent="0.25">
      <c r="A651" s="2">
        <v>42948</v>
      </c>
      <c r="B651" t="s">
        <v>18</v>
      </c>
      <c r="C651" t="s">
        <v>6</v>
      </c>
      <c r="D651">
        <v>1690000</v>
      </c>
    </row>
    <row r="652" spans="1:4" x14ac:dyDescent="0.25">
      <c r="A652" s="2">
        <v>42948</v>
      </c>
      <c r="B652" t="s">
        <v>114</v>
      </c>
      <c r="C652" t="s">
        <v>7</v>
      </c>
      <c r="D652">
        <v>4366200</v>
      </c>
    </row>
    <row r="653" spans="1:4" x14ac:dyDescent="0.25">
      <c r="A653" s="2">
        <v>42948</v>
      </c>
      <c r="B653" t="s">
        <v>114</v>
      </c>
      <c r="C653" t="s">
        <v>6</v>
      </c>
      <c r="D653">
        <v>1642500</v>
      </c>
    </row>
    <row r="654" spans="1:4" x14ac:dyDescent="0.25">
      <c r="A654" s="2">
        <v>42979</v>
      </c>
      <c r="B654" t="s">
        <v>5</v>
      </c>
      <c r="C654" t="s">
        <v>7</v>
      </c>
      <c r="D654">
        <v>0</v>
      </c>
    </row>
    <row r="655" spans="1:4" x14ac:dyDescent="0.25">
      <c r="A655" s="2">
        <v>42979</v>
      </c>
      <c r="B655" t="s">
        <v>5</v>
      </c>
      <c r="C655" t="s">
        <v>6</v>
      </c>
      <c r="D655">
        <v>0</v>
      </c>
    </row>
    <row r="656" spans="1:4" x14ac:dyDescent="0.25">
      <c r="A656" s="2">
        <v>42979</v>
      </c>
      <c r="B656" t="s">
        <v>18</v>
      </c>
      <c r="C656" t="s">
        <v>7</v>
      </c>
      <c r="D656">
        <v>686000</v>
      </c>
    </row>
    <row r="657" spans="1:4" x14ac:dyDescent="0.25">
      <c r="A657" s="2">
        <v>42979</v>
      </c>
      <c r="B657" t="s">
        <v>18</v>
      </c>
      <c r="C657" t="s">
        <v>6</v>
      </c>
      <c r="D657">
        <v>1679800</v>
      </c>
    </row>
    <row r="658" spans="1:4" x14ac:dyDescent="0.25">
      <c r="A658" s="2">
        <v>42979</v>
      </c>
      <c r="B658" t="s">
        <v>114</v>
      </c>
      <c r="C658" t="s">
        <v>7</v>
      </c>
      <c r="D658">
        <v>4377700</v>
      </c>
    </row>
    <row r="659" spans="1:4" x14ac:dyDescent="0.25">
      <c r="A659" s="2">
        <v>42979</v>
      </c>
      <c r="B659" t="s">
        <v>114</v>
      </c>
      <c r="C659" t="s">
        <v>6</v>
      </c>
      <c r="D659">
        <v>1629400</v>
      </c>
    </row>
    <row r="660" spans="1:4" x14ac:dyDescent="0.25">
      <c r="A660" s="2">
        <v>43009</v>
      </c>
      <c r="B660" t="s">
        <v>5</v>
      </c>
      <c r="C660" t="s">
        <v>7</v>
      </c>
      <c r="D660">
        <v>0</v>
      </c>
    </row>
    <row r="661" spans="1:4" x14ac:dyDescent="0.25">
      <c r="A661" s="2">
        <v>43009</v>
      </c>
      <c r="B661" t="s">
        <v>5</v>
      </c>
      <c r="C661" t="s">
        <v>6</v>
      </c>
      <c r="D661">
        <v>0</v>
      </c>
    </row>
    <row r="662" spans="1:4" x14ac:dyDescent="0.25">
      <c r="A662" s="2">
        <v>43009</v>
      </c>
      <c r="B662" t="s">
        <v>18</v>
      </c>
      <c r="C662" t="s">
        <v>7</v>
      </c>
      <c r="D662">
        <v>671000</v>
      </c>
    </row>
    <row r="663" spans="1:4" x14ac:dyDescent="0.25">
      <c r="A663" s="2">
        <v>43009</v>
      </c>
      <c r="B663" t="s">
        <v>18</v>
      </c>
      <c r="C663" t="s">
        <v>6</v>
      </c>
      <c r="D663">
        <v>1678100</v>
      </c>
    </row>
    <row r="664" spans="1:4" x14ac:dyDescent="0.25">
      <c r="A664" s="2">
        <v>43009</v>
      </c>
      <c r="B664" t="s">
        <v>114</v>
      </c>
      <c r="C664" t="s">
        <v>7</v>
      </c>
      <c r="D664">
        <v>4403500</v>
      </c>
    </row>
    <row r="665" spans="1:4" x14ac:dyDescent="0.25">
      <c r="A665" s="2">
        <v>43009</v>
      </c>
      <c r="B665" t="s">
        <v>114</v>
      </c>
      <c r="C665" t="s">
        <v>6</v>
      </c>
      <c r="D665">
        <v>1600500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9FFB-C1EC-45EA-8EE0-D5FC64A88184}">
  <dimension ref="A1:D665"/>
  <sheetViews>
    <sheetView topLeftCell="A629" workbookViewId="0">
      <selection activeCell="H656" sqref="H656"/>
    </sheetView>
  </sheetViews>
  <sheetFormatPr baseColWidth="10" defaultColWidth="9.140625" defaultRowHeight="15" x14ac:dyDescent="0.25"/>
  <cols>
    <col min="1" max="1" width="9.140625" bestFit="1" customWidth="1"/>
    <col min="2" max="2" width="28" customWidth="1"/>
    <col min="3" max="3" width="16.42578125" bestFit="1" customWidth="1"/>
    <col min="4" max="4" width="25.71093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 t="s">
        <v>4</v>
      </c>
      <c r="B2" t="s">
        <v>5</v>
      </c>
      <c r="C2" t="s">
        <v>6</v>
      </c>
      <c r="D2">
        <v>1137000</v>
      </c>
    </row>
    <row r="3" spans="1:4" x14ac:dyDescent="0.25">
      <c r="A3" s="1" t="s">
        <v>4</v>
      </c>
      <c r="B3" t="s">
        <v>5</v>
      </c>
      <c r="C3" t="s">
        <v>7</v>
      </c>
      <c r="D3">
        <v>2553900</v>
      </c>
    </row>
    <row r="4" spans="1:4" x14ac:dyDescent="0.25">
      <c r="A4" s="1" t="s">
        <v>8</v>
      </c>
      <c r="B4" t="s">
        <v>5</v>
      </c>
      <c r="C4" t="s">
        <v>6</v>
      </c>
      <c r="D4">
        <v>1151300</v>
      </c>
    </row>
    <row r="5" spans="1:4" x14ac:dyDescent="0.25">
      <c r="A5" s="1" t="s">
        <v>8</v>
      </c>
      <c r="B5" t="s">
        <v>5</v>
      </c>
      <c r="C5" t="s">
        <v>7</v>
      </c>
      <c r="D5">
        <v>2565300</v>
      </c>
    </row>
    <row r="6" spans="1:4" x14ac:dyDescent="0.25">
      <c r="A6" s="1" t="s">
        <v>9</v>
      </c>
      <c r="B6" t="s">
        <v>5</v>
      </c>
      <c r="C6" t="s">
        <v>6</v>
      </c>
      <c r="D6">
        <v>1170900</v>
      </c>
    </row>
    <row r="7" spans="1:4" x14ac:dyDescent="0.25">
      <c r="A7" s="1" t="s">
        <v>9</v>
      </c>
      <c r="B7" t="s">
        <v>5</v>
      </c>
      <c r="C7" t="s">
        <v>7</v>
      </c>
      <c r="D7">
        <v>2570900</v>
      </c>
    </row>
    <row r="8" spans="1:4" x14ac:dyDescent="0.25">
      <c r="A8" s="1" t="s">
        <v>10</v>
      </c>
      <c r="B8" t="s">
        <v>5</v>
      </c>
      <c r="C8" t="s">
        <v>6</v>
      </c>
      <c r="D8">
        <v>1182100</v>
      </c>
    </row>
    <row r="9" spans="1:4" x14ac:dyDescent="0.25">
      <c r="A9" s="1" t="s">
        <v>10</v>
      </c>
      <c r="B9" t="s">
        <v>5</v>
      </c>
      <c r="C9" t="s">
        <v>7</v>
      </c>
      <c r="D9">
        <v>2575200</v>
      </c>
    </row>
    <row r="10" spans="1:4" x14ac:dyDescent="0.25">
      <c r="A10" s="1" t="s">
        <v>11</v>
      </c>
      <c r="B10" t="s">
        <v>5</v>
      </c>
      <c r="C10" t="s">
        <v>6</v>
      </c>
      <c r="D10">
        <v>1213700</v>
      </c>
    </row>
    <row r="11" spans="1:4" x14ac:dyDescent="0.25">
      <c r="A11" s="1" t="s">
        <v>11</v>
      </c>
      <c r="B11" t="s">
        <v>5</v>
      </c>
      <c r="C11" t="s">
        <v>7</v>
      </c>
      <c r="D11">
        <v>2585100</v>
      </c>
    </row>
    <row r="12" spans="1:4" x14ac:dyDescent="0.25">
      <c r="A12" s="1" t="s">
        <v>12</v>
      </c>
      <c r="B12" t="s">
        <v>5</v>
      </c>
      <c r="C12" t="s">
        <v>6</v>
      </c>
      <c r="D12">
        <v>1246900</v>
      </c>
    </row>
    <row r="13" spans="1:4" x14ac:dyDescent="0.25">
      <c r="A13" s="1" t="s">
        <v>12</v>
      </c>
      <c r="B13" t="s">
        <v>5</v>
      </c>
      <c r="C13" t="s">
        <v>7</v>
      </c>
      <c r="D13">
        <v>2613800</v>
      </c>
    </row>
    <row r="14" spans="1:4" x14ac:dyDescent="0.25">
      <c r="A14" s="1" t="s">
        <v>13</v>
      </c>
      <c r="B14" t="s">
        <v>5</v>
      </c>
      <c r="C14" t="s">
        <v>6</v>
      </c>
      <c r="D14">
        <v>1271100</v>
      </c>
    </row>
    <row r="15" spans="1:4" x14ac:dyDescent="0.25">
      <c r="A15" s="1" t="s">
        <v>13</v>
      </c>
      <c r="B15" t="s">
        <v>5</v>
      </c>
      <c r="C15" t="s">
        <v>7</v>
      </c>
      <c r="D15">
        <v>2628600</v>
      </c>
    </row>
    <row r="16" spans="1:4" x14ac:dyDescent="0.25">
      <c r="A16" s="1" t="s">
        <v>14</v>
      </c>
      <c r="B16" t="s">
        <v>5</v>
      </c>
      <c r="C16" t="s">
        <v>6</v>
      </c>
      <c r="D16">
        <v>1296500</v>
      </c>
    </row>
    <row r="17" spans="1:4" x14ac:dyDescent="0.25">
      <c r="A17" s="1" t="s">
        <v>14</v>
      </c>
      <c r="B17" t="s">
        <v>5</v>
      </c>
      <c r="C17" t="s">
        <v>7</v>
      </c>
      <c r="D17">
        <v>2638900</v>
      </c>
    </row>
    <row r="18" spans="1:4" x14ac:dyDescent="0.25">
      <c r="A18" s="1" t="s">
        <v>15</v>
      </c>
      <c r="B18" t="s">
        <v>5</v>
      </c>
      <c r="C18" t="s">
        <v>6</v>
      </c>
      <c r="D18">
        <v>1341900</v>
      </c>
    </row>
    <row r="19" spans="1:4" x14ac:dyDescent="0.25">
      <c r="A19" s="1" t="s">
        <v>15</v>
      </c>
      <c r="B19" t="s">
        <v>5</v>
      </c>
      <c r="C19" t="s">
        <v>7</v>
      </c>
      <c r="D19">
        <v>2648800</v>
      </c>
    </row>
    <row r="20" spans="1:4" x14ac:dyDescent="0.25">
      <c r="A20" s="1" t="s">
        <v>16</v>
      </c>
      <c r="B20" t="s">
        <v>5</v>
      </c>
      <c r="C20" t="s">
        <v>6</v>
      </c>
      <c r="D20">
        <v>1362400</v>
      </c>
    </row>
    <row r="21" spans="1:4" x14ac:dyDescent="0.25">
      <c r="A21" s="1" t="s">
        <v>16</v>
      </c>
      <c r="B21" t="s">
        <v>5</v>
      </c>
      <c r="C21" t="s">
        <v>7</v>
      </c>
      <c r="D21">
        <v>2648500</v>
      </c>
    </row>
    <row r="22" spans="1:4" x14ac:dyDescent="0.25">
      <c r="A22" s="1" t="s">
        <v>17</v>
      </c>
      <c r="B22" t="s">
        <v>5</v>
      </c>
      <c r="C22" t="s">
        <v>6</v>
      </c>
      <c r="D22">
        <v>1383000</v>
      </c>
    </row>
    <row r="23" spans="1:4" x14ac:dyDescent="0.25">
      <c r="A23" s="1" t="s">
        <v>17</v>
      </c>
      <c r="B23" t="s">
        <v>5</v>
      </c>
      <c r="C23" t="s">
        <v>7</v>
      </c>
      <c r="D23">
        <v>2644900</v>
      </c>
    </row>
    <row r="24" spans="1:4" x14ac:dyDescent="0.25">
      <c r="A24" s="1" t="s">
        <v>17</v>
      </c>
      <c r="B24" t="s">
        <v>18</v>
      </c>
      <c r="C24" t="s">
        <v>19</v>
      </c>
      <c r="D24">
        <v>21600</v>
      </c>
    </row>
    <row r="25" spans="1:4" x14ac:dyDescent="0.25">
      <c r="A25" s="1" t="s">
        <v>20</v>
      </c>
      <c r="B25" t="s">
        <v>5</v>
      </c>
      <c r="C25" t="s">
        <v>6</v>
      </c>
      <c r="D25">
        <v>1405300</v>
      </c>
    </row>
    <row r="26" spans="1:4" x14ac:dyDescent="0.25">
      <c r="A26" s="1" t="s">
        <v>20</v>
      </c>
      <c r="B26" t="s">
        <v>5</v>
      </c>
      <c r="C26" t="s">
        <v>7</v>
      </c>
      <c r="D26">
        <v>2644400</v>
      </c>
    </row>
    <row r="27" spans="1:4" x14ac:dyDescent="0.25">
      <c r="A27" s="1" t="s">
        <v>20</v>
      </c>
      <c r="B27" t="s">
        <v>18</v>
      </c>
      <c r="C27" t="s">
        <v>19</v>
      </c>
      <c r="D27">
        <v>28700</v>
      </c>
    </row>
    <row r="28" spans="1:4" x14ac:dyDescent="0.25">
      <c r="A28" s="1" t="s">
        <v>21</v>
      </c>
      <c r="B28" t="s">
        <v>5</v>
      </c>
      <c r="C28" t="s">
        <v>6</v>
      </c>
      <c r="D28">
        <v>1453200</v>
      </c>
    </row>
    <row r="29" spans="1:4" x14ac:dyDescent="0.25">
      <c r="A29" s="1" t="s">
        <v>21</v>
      </c>
      <c r="B29" t="s">
        <v>5</v>
      </c>
      <c r="C29" t="s">
        <v>7</v>
      </c>
      <c r="D29">
        <v>2645000</v>
      </c>
    </row>
    <row r="30" spans="1:4" x14ac:dyDescent="0.25">
      <c r="A30" s="1" t="s">
        <v>21</v>
      </c>
      <c r="B30" t="s">
        <v>18</v>
      </c>
      <c r="C30" t="s">
        <v>19</v>
      </c>
      <c r="D30">
        <v>37500</v>
      </c>
    </row>
    <row r="31" spans="1:4" x14ac:dyDescent="0.25">
      <c r="A31" s="1" t="s">
        <v>22</v>
      </c>
      <c r="B31" t="s">
        <v>5</v>
      </c>
      <c r="C31" t="s">
        <v>6</v>
      </c>
      <c r="D31">
        <v>1467300</v>
      </c>
    </row>
    <row r="32" spans="1:4" x14ac:dyDescent="0.25">
      <c r="A32" s="1" t="s">
        <v>22</v>
      </c>
      <c r="B32" t="s">
        <v>5</v>
      </c>
      <c r="C32" t="s">
        <v>7</v>
      </c>
      <c r="D32">
        <v>2646300</v>
      </c>
    </row>
    <row r="33" spans="1:4" x14ac:dyDescent="0.25">
      <c r="A33" s="1" t="s">
        <v>22</v>
      </c>
      <c r="B33" t="s">
        <v>18</v>
      </c>
      <c r="C33" t="s">
        <v>19</v>
      </c>
      <c r="D33">
        <v>47700</v>
      </c>
    </row>
    <row r="34" spans="1:4" x14ac:dyDescent="0.25">
      <c r="A34" s="1" t="s">
        <v>23</v>
      </c>
      <c r="B34" t="s">
        <v>5</v>
      </c>
      <c r="C34" t="s">
        <v>6</v>
      </c>
      <c r="D34">
        <v>1483600</v>
      </c>
    </row>
    <row r="35" spans="1:4" x14ac:dyDescent="0.25">
      <c r="A35" s="1" t="s">
        <v>23</v>
      </c>
      <c r="B35" t="s">
        <v>5</v>
      </c>
      <c r="C35" t="s">
        <v>7</v>
      </c>
      <c r="D35">
        <v>2635300</v>
      </c>
    </row>
    <row r="36" spans="1:4" x14ac:dyDescent="0.25">
      <c r="A36" s="1" t="s">
        <v>23</v>
      </c>
      <c r="B36" t="s">
        <v>18</v>
      </c>
      <c r="C36" t="s">
        <v>19</v>
      </c>
      <c r="D36">
        <v>66200</v>
      </c>
    </row>
    <row r="37" spans="1:4" x14ac:dyDescent="0.25">
      <c r="A37" s="1" t="s">
        <v>24</v>
      </c>
      <c r="B37" t="s">
        <v>5</v>
      </c>
      <c r="C37" t="s">
        <v>6</v>
      </c>
      <c r="D37">
        <v>1482500</v>
      </c>
    </row>
    <row r="38" spans="1:4" x14ac:dyDescent="0.25">
      <c r="A38" s="1" t="s">
        <v>24</v>
      </c>
      <c r="B38" t="s">
        <v>5</v>
      </c>
      <c r="C38" t="s">
        <v>7</v>
      </c>
      <c r="D38">
        <v>2613700</v>
      </c>
    </row>
    <row r="39" spans="1:4" x14ac:dyDescent="0.25">
      <c r="A39" s="1" t="s">
        <v>24</v>
      </c>
      <c r="B39" t="s">
        <v>18</v>
      </c>
      <c r="C39" t="s">
        <v>19</v>
      </c>
      <c r="D39">
        <v>96900</v>
      </c>
    </row>
    <row r="40" spans="1:4" x14ac:dyDescent="0.25">
      <c r="A40" s="1" t="s">
        <v>25</v>
      </c>
      <c r="B40" t="s">
        <v>5</v>
      </c>
      <c r="C40" t="s">
        <v>6</v>
      </c>
      <c r="D40">
        <v>1469100</v>
      </c>
    </row>
    <row r="41" spans="1:4" x14ac:dyDescent="0.25">
      <c r="A41" s="1" t="s">
        <v>25</v>
      </c>
      <c r="B41" t="s">
        <v>5</v>
      </c>
      <c r="C41" t="s">
        <v>7</v>
      </c>
      <c r="D41">
        <v>2586700</v>
      </c>
    </row>
    <row r="42" spans="1:4" x14ac:dyDescent="0.25">
      <c r="A42" s="1" t="s">
        <v>25</v>
      </c>
      <c r="B42" t="s">
        <v>18</v>
      </c>
      <c r="C42" t="s">
        <v>19</v>
      </c>
      <c r="D42">
        <v>129300</v>
      </c>
    </row>
    <row r="43" spans="1:4" x14ac:dyDescent="0.25">
      <c r="A43" s="1" t="s">
        <v>26</v>
      </c>
      <c r="B43" t="s">
        <v>5</v>
      </c>
      <c r="C43" t="s">
        <v>6</v>
      </c>
      <c r="D43">
        <v>1516900</v>
      </c>
    </row>
    <row r="44" spans="1:4" x14ac:dyDescent="0.25">
      <c r="A44" s="1" t="s">
        <v>26</v>
      </c>
      <c r="B44" t="s">
        <v>5</v>
      </c>
      <c r="C44" t="s">
        <v>7</v>
      </c>
      <c r="D44">
        <v>2565100</v>
      </c>
    </row>
    <row r="45" spans="1:4" x14ac:dyDescent="0.25">
      <c r="A45" s="1" t="s">
        <v>26</v>
      </c>
      <c r="B45" t="s">
        <v>18</v>
      </c>
      <c r="C45" t="s">
        <v>19</v>
      </c>
      <c r="D45">
        <v>174800</v>
      </c>
    </row>
    <row r="46" spans="1:4" x14ac:dyDescent="0.25">
      <c r="A46" s="1" t="s">
        <v>27</v>
      </c>
      <c r="B46" t="s">
        <v>5</v>
      </c>
      <c r="C46" t="s">
        <v>6</v>
      </c>
      <c r="D46">
        <v>1557000</v>
      </c>
    </row>
    <row r="47" spans="1:4" x14ac:dyDescent="0.25">
      <c r="A47" s="1" t="s">
        <v>27</v>
      </c>
      <c r="B47" t="s">
        <v>5</v>
      </c>
      <c r="C47" t="s">
        <v>7</v>
      </c>
      <c r="D47">
        <v>2533200</v>
      </c>
    </row>
    <row r="48" spans="1:4" x14ac:dyDescent="0.25">
      <c r="A48" s="1" t="s">
        <v>27</v>
      </c>
      <c r="B48" t="s">
        <v>18</v>
      </c>
      <c r="C48" t="s">
        <v>19</v>
      </c>
      <c r="D48">
        <v>220500</v>
      </c>
    </row>
    <row r="49" spans="1:4" x14ac:dyDescent="0.25">
      <c r="A49" s="1" t="s">
        <v>28</v>
      </c>
      <c r="B49" t="s">
        <v>5</v>
      </c>
      <c r="C49" t="s">
        <v>6</v>
      </c>
      <c r="D49">
        <v>1573300</v>
      </c>
    </row>
    <row r="50" spans="1:4" x14ac:dyDescent="0.25">
      <c r="A50" s="1" t="s">
        <v>28</v>
      </c>
      <c r="B50" t="s">
        <v>5</v>
      </c>
      <c r="C50" t="s">
        <v>7</v>
      </c>
      <c r="D50">
        <v>2495600</v>
      </c>
    </row>
    <row r="51" spans="1:4" x14ac:dyDescent="0.25">
      <c r="A51" s="1" t="s">
        <v>28</v>
      </c>
      <c r="B51" t="s">
        <v>18</v>
      </c>
      <c r="C51" t="s">
        <v>19</v>
      </c>
      <c r="D51">
        <v>271700</v>
      </c>
    </row>
    <row r="52" spans="1:4" x14ac:dyDescent="0.25">
      <c r="A52" s="1" t="s">
        <v>29</v>
      </c>
      <c r="B52" t="s">
        <v>5</v>
      </c>
      <c r="C52" t="s">
        <v>6</v>
      </c>
      <c r="D52">
        <v>1609700</v>
      </c>
    </row>
    <row r="53" spans="1:4" x14ac:dyDescent="0.25">
      <c r="A53" s="1" t="s">
        <v>29</v>
      </c>
      <c r="B53" t="s">
        <v>5</v>
      </c>
      <c r="C53" t="s">
        <v>7</v>
      </c>
      <c r="D53">
        <v>2457400</v>
      </c>
    </row>
    <row r="54" spans="1:4" x14ac:dyDescent="0.25">
      <c r="A54" s="1" t="s">
        <v>29</v>
      </c>
      <c r="B54" t="s">
        <v>18</v>
      </c>
      <c r="C54" t="s">
        <v>19</v>
      </c>
      <c r="D54">
        <v>317600</v>
      </c>
    </row>
    <row r="55" spans="1:4" x14ac:dyDescent="0.25">
      <c r="A55" s="1" t="s">
        <v>30</v>
      </c>
      <c r="B55" t="s">
        <v>5</v>
      </c>
      <c r="C55" t="s">
        <v>6</v>
      </c>
      <c r="D55">
        <v>1629700</v>
      </c>
    </row>
    <row r="56" spans="1:4" x14ac:dyDescent="0.25">
      <c r="A56" s="1" t="s">
        <v>30</v>
      </c>
      <c r="B56" t="s">
        <v>5</v>
      </c>
      <c r="C56" t="s">
        <v>7</v>
      </c>
      <c r="D56">
        <v>2417500</v>
      </c>
    </row>
    <row r="57" spans="1:4" x14ac:dyDescent="0.25">
      <c r="A57" s="1" t="s">
        <v>30</v>
      </c>
      <c r="B57" t="s">
        <v>18</v>
      </c>
      <c r="C57" t="s">
        <v>19</v>
      </c>
      <c r="D57">
        <v>367600</v>
      </c>
    </row>
    <row r="58" spans="1:4" x14ac:dyDescent="0.25">
      <c r="A58" s="1" t="s">
        <v>31</v>
      </c>
      <c r="B58" t="s">
        <v>5</v>
      </c>
      <c r="C58" t="s">
        <v>6</v>
      </c>
      <c r="D58">
        <v>1521800</v>
      </c>
    </row>
    <row r="59" spans="1:4" x14ac:dyDescent="0.25">
      <c r="A59" s="1" t="s">
        <v>31</v>
      </c>
      <c r="B59" t="s">
        <v>5</v>
      </c>
      <c r="C59" t="s">
        <v>7</v>
      </c>
      <c r="D59">
        <v>2370800</v>
      </c>
    </row>
    <row r="60" spans="1:4" x14ac:dyDescent="0.25">
      <c r="A60" s="1" t="s">
        <v>31</v>
      </c>
      <c r="B60" t="s">
        <v>18</v>
      </c>
      <c r="C60" t="s">
        <v>19</v>
      </c>
      <c r="D60">
        <v>429600</v>
      </c>
    </row>
    <row r="61" spans="1:4" x14ac:dyDescent="0.25">
      <c r="A61" s="1" t="s">
        <v>32</v>
      </c>
      <c r="B61" t="s">
        <v>5</v>
      </c>
      <c r="C61" t="s">
        <v>6</v>
      </c>
      <c r="D61">
        <v>1432500</v>
      </c>
    </row>
    <row r="62" spans="1:4" x14ac:dyDescent="0.25">
      <c r="A62" s="1" t="s">
        <v>32</v>
      </c>
      <c r="B62" t="s">
        <v>5</v>
      </c>
      <c r="C62" t="s">
        <v>7</v>
      </c>
      <c r="D62">
        <v>2299600</v>
      </c>
    </row>
    <row r="63" spans="1:4" x14ac:dyDescent="0.25">
      <c r="A63" s="1" t="s">
        <v>32</v>
      </c>
      <c r="B63" t="s">
        <v>18</v>
      </c>
      <c r="C63" t="s">
        <v>19</v>
      </c>
      <c r="D63">
        <v>486100</v>
      </c>
    </row>
    <row r="64" spans="1:4" x14ac:dyDescent="0.25">
      <c r="A64" s="1" t="s">
        <v>33</v>
      </c>
      <c r="B64" t="s">
        <v>5</v>
      </c>
      <c r="C64" t="s">
        <v>6</v>
      </c>
      <c r="D64">
        <v>1493300</v>
      </c>
    </row>
    <row r="65" spans="1:4" x14ac:dyDescent="0.25">
      <c r="A65" s="1" t="s">
        <v>33</v>
      </c>
      <c r="B65" t="s">
        <v>5</v>
      </c>
      <c r="C65" t="s">
        <v>7</v>
      </c>
      <c r="D65">
        <v>2253900</v>
      </c>
    </row>
    <row r="66" spans="1:4" x14ac:dyDescent="0.25">
      <c r="A66" s="1" t="s">
        <v>33</v>
      </c>
      <c r="B66" t="s">
        <v>18</v>
      </c>
      <c r="C66" t="s">
        <v>19</v>
      </c>
      <c r="D66">
        <v>534600</v>
      </c>
    </row>
    <row r="67" spans="1:4" x14ac:dyDescent="0.25">
      <c r="A67" s="1" t="s">
        <v>34</v>
      </c>
      <c r="B67" t="s">
        <v>5</v>
      </c>
      <c r="C67" t="s">
        <v>6</v>
      </c>
      <c r="D67">
        <v>1560500</v>
      </c>
    </row>
    <row r="68" spans="1:4" x14ac:dyDescent="0.25">
      <c r="A68" s="1" t="s">
        <v>34</v>
      </c>
      <c r="B68" t="s">
        <v>5</v>
      </c>
      <c r="C68" t="s">
        <v>7</v>
      </c>
      <c r="D68">
        <v>2204400</v>
      </c>
    </row>
    <row r="69" spans="1:4" x14ac:dyDescent="0.25">
      <c r="A69" s="1" t="s">
        <v>34</v>
      </c>
      <c r="B69" t="s">
        <v>18</v>
      </c>
      <c r="C69" t="s">
        <v>19</v>
      </c>
      <c r="D69">
        <v>589800</v>
      </c>
    </row>
    <row r="70" spans="1:4" x14ac:dyDescent="0.25">
      <c r="A70" s="1" t="s">
        <v>35</v>
      </c>
      <c r="B70" t="s">
        <v>5</v>
      </c>
      <c r="C70" t="s">
        <v>6</v>
      </c>
      <c r="D70">
        <v>1611800</v>
      </c>
    </row>
    <row r="71" spans="1:4" x14ac:dyDescent="0.25">
      <c r="A71" s="1" t="s">
        <v>35</v>
      </c>
      <c r="B71" t="s">
        <v>5</v>
      </c>
      <c r="C71" t="s">
        <v>7</v>
      </c>
      <c r="D71">
        <v>2158900</v>
      </c>
    </row>
    <row r="72" spans="1:4" x14ac:dyDescent="0.25">
      <c r="A72" s="1" t="s">
        <v>35</v>
      </c>
      <c r="B72" t="s">
        <v>18</v>
      </c>
      <c r="C72" t="s">
        <v>19</v>
      </c>
      <c r="D72">
        <v>645300</v>
      </c>
    </row>
    <row r="73" spans="1:4" x14ac:dyDescent="0.25">
      <c r="A73" s="1" t="s">
        <v>36</v>
      </c>
      <c r="B73" t="s">
        <v>5</v>
      </c>
      <c r="C73" t="s">
        <v>6</v>
      </c>
      <c r="D73">
        <v>1666200</v>
      </c>
    </row>
    <row r="74" spans="1:4" x14ac:dyDescent="0.25">
      <c r="A74" s="1" t="s">
        <v>36</v>
      </c>
      <c r="B74" t="s">
        <v>5</v>
      </c>
      <c r="C74" t="s">
        <v>7</v>
      </c>
      <c r="D74">
        <v>2105900</v>
      </c>
    </row>
    <row r="75" spans="1:4" x14ac:dyDescent="0.25">
      <c r="A75" s="1" t="s">
        <v>36</v>
      </c>
      <c r="B75" t="s">
        <v>18</v>
      </c>
      <c r="C75" t="s">
        <v>19</v>
      </c>
      <c r="D75">
        <v>699200</v>
      </c>
    </row>
    <row r="76" spans="1:4" x14ac:dyDescent="0.25">
      <c r="A76" s="1" t="s">
        <v>37</v>
      </c>
      <c r="B76" t="s">
        <v>5</v>
      </c>
      <c r="C76" t="s">
        <v>6</v>
      </c>
      <c r="D76">
        <v>1730800</v>
      </c>
    </row>
    <row r="77" spans="1:4" x14ac:dyDescent="0.25">
      <c r="A77" s="1" t="s">
        <v>37</v>
      </c>
      <c r="B77" t="s">
        <v>5</v>
      </c>
      <c r="C77" t="s">
        <v>7</v>
      </c>
      <c r="D77">
        <v>2050800</v>
      </c>
    </row>
    <row r="78" spans="1:4" x14ac:dyDescent="0.25">
      <c r="A78" s="1" t="s">
        <v>37</v>
      </c>
      <c r="B78" t="s">
        <v>18</v>
      </c>
      <c r="C78" t="s">
        <v>19</v>
      </c>
      <c r="D78">
        <v>766700</v>
      </c>
    </row>
    <row r="79" spans="1:4" x14ac:dyDescent="0.25">
      <c r="A79" s="1" t="s">
        <v>38</v>
      </c>
      <c r="B79" t="s">
        <v>5</v>
      </c>
      <c r="C79" t="s">
        <v>6</v>
      </c>
      <c r="D79">
        <v>1793700</v>
      </c>
    </row>
    <row r="80" spans="1:4" x14ac:dyDescent="0.25">
      <c r="A80" s="1" t="s">
        <v>38</v>
      </c>
      <c r="B80" t="s">
        <v>5</v>
      </c>
      <c r="C80" t="s">
        <v>7</v>
      </c>
      <c r="D80">
        <v>1960100</v>
      </c>
    </row>
    <row r="81" spans="1:4" x14ac:dyDescent="0.25">
      <c r="A81" s="1" t="s">
        <v>38</v>
      </c>
      <c r="B81" t="s">
        <v>18</v>
      </c>
      <c r="C81" t="s">
        <v>19</v>
      </c>
      <c r="D81">
        <v>884000</v>
      </c>
    </row>
    <row r="82" spans="1:4" x14ac:dyDescent="0.25">
      <c r="A82" s="1" t="s">
        <v>39</v>
      </c>
      <c r="B82" t="s">
        <v>5</v>
      </c>
      <c r="C82" t="s">
        <v>6</v>
      </c>
      <c r="D82">
        <v>1836900</v>
      </c>
    </row>
    <row r="83" spans="1:4" x14ac:dyDescent="0.25">
      <c r="A83" s="1" t="s">
        <v>39</v>
      </c>
      <c r="B83" t="s">
        <v>5</v>
      </c>
      <c r="C83" t="s">
        <v>7</v>
      </c>
      <c r="D83">
        <v>1899000</v>
      </c>
    </row>
    <row r="84" spans="1:4" x14ac:dyDescent="0.25">
      <c r="A84" s="1" t="s">
        <v>39</v>
      </c>
      <c r="B84" t="s">
        <v>18</v>
      </c>
      <c r="C84" t="s">
        <v>19</v>
      </c>
      <c r="D84">
        <v>953400</v>
      </c>
    </row>
    <row r="85" spans="1:4" x14ac:dyDescent="0.25">
      <c r="A85" s="1" t="s">
        <v>40</v>
      </c>
      <c r="B85" t="s">
        <v>5</v>
      </c>
      <c r="C85" t="s">
        <v>6</v>
      </c>
      <c r="D85">
        <v>1863200</v>
      </c>
    </row>
    <row r="86" spans="1:4" x14ac:dyDescent="0.25">
      <c r="A86" s="1" t="s">
        <v>40</v>
      </c>
      <c r="B86" t="s">
        <v>5</v>
      </c>
      <c r="C86" t="s">
        <v>7</v>
      </c>
      <c r="D86">
        <v>1852000</v>
      </c>
    </row>
    <row r="87" spans="1:4" x14ac:dyDescent="0.25">
      <c r="A87" s="1" t="s">
        <v>40</v>
      </c>
      <c r="B87" t="s">
        <v>18</v>
      </c>
      <c r="C87" t="s">
        <v>19</v>
      </c>
      <c r="D87">
        <v>1014500</v>
      </c>
    </row>
    <row r="88" spans="1:4" x14ac:dyDescent="0.25">
      <c r="A88" s="1" t="s">
        <v>41</v>
      </c>
      <c r="B88" t="s">
        <v>5</v>
      </c>
      <c r="C88" t="s">
        <v>6</v>
      </c>
      <c r="D88">
        <v>1911400</v>
      </c>
    </row>
    <row r="89" spans="1:4" x14ac:dyDescent="0.25">
      <c r="A89" s="1" t="s">
        <v>41</v>
      </c>
      <c r="B89" t="s">
        <v>5</v>
      </c>
      <c r="C89" t="s">
        <v>7</v>
      </c>
      <c r="D89">
        <v>1795700</v>
      </c>
    </row>
    <row r="90" spans="1:4" x14ac:dyDescent="0.25">
      <c r="A90" s="1" t="s">
        <v>41</v>
      </c>
      <c r="B90" t="s">
        <v>18</v>
      </c>
      <c r="C90" t="s">
        <v>19</v>
      </c>
      <c r="D90">
        <v>1081400</v>
      </c>
    </row>
    <row r="91" spans="1:4" x14ac:dyDescent="0.25">
      <c r="A91" s="1" t="s">
        <v>42</v>
      </c>
      <c r="B91" t="s">
        <v>5</v>
      </c>
      <c r="C91" t="s">
        <v>6</v>
      </c>
      <c r="D91">
        <v>1961500</v>
      </c>
    </row>
    <row r="92" spans="1:4" x14ac:dyDescent="0.25">
      <c r="A92" s="1" t="s">
        <v>42</v>
      </c>
      <c r="B92" t="s">
        <v>5</v>
      </c>
      <c r="C92" t="s">
        <v>7</v>
      </c>
      <c r="D92">
        <v>1745600</v>
      </c>
    </row>
    <row r="93" spans="1:4" x14ac:dyDescent="0.25">
      <c r="A93" s="1" t="s">
        <v>42</v>
      </c>
      <c r="B93" t="s">
        <v>18</v>
      </c>
      <c r="C93" t="s">
        <v>19</v>
      </c>
      <c r="D93">
        <v>1141000</v>
      </c>
    </row>
    <row r="94" spans="1:4" x14ac:dyDescent="0.25">
      <c r="A94" s="1" t="s">
        <v>43</v>
      </c>
      <c r="B94" t="s">
        <v>5</v>
      </c>
      <c r="C94" t="s">
        <v>6</v>
      </c>
      <c r="D94">
        <v>2016000</v>
      </c>
    </row>
    <row r="95" spans="1:4" x14ac:dyDescent="0.25">
      <c r="A95" s="1" t="s">
        <v>43</v>
      </c>
      <c r="B95" t="s">
        <v>5</v>
      </c>
      <c r="C95" t="s">
        <v>7</v>
      </c>
      <c r="D95">
        <v>1699400</v>
      </c>
    </row>
    <row r="96" spans="1:4" x14ac:dyDescent="0.25">
      <c r="A96" s="1" t="s">
        <v>43</v>
      </c>
      <c r="B96" t="s">
        <v>18</v>
      </c>
      <c r="C96" t="s">
        <v>19</v>
      </c>
      <c r="D96">
        <v>1196100</v>
      </c>
    </row>
    <row r="97" spans="1:4" x14ac:dyDescent="0.25">
      <c r="A97" s="1" t="s">
        <v>44</v>
      </c>
      <c r="B97" t="s">
        <v>5</v>
      </c>
      <c r="C97" t="s">
        <v>6</v>
      </c>
      <c r="D97">
        <v>2079700</v>
      </c>
    </row>
    <row r="98" spans="1:4" x14ac:dyDescent="0.25">
      <c r="A98" s="1" t="s">
        <v>44</v>
      </c>
      <c r="B98" t="s">
        <v>5</v>
      </c>
      <c r="C98" t="s">
        <v>7</v>
      </c>
      <c r="D98">
        <v>1653200</v>
      </c>
    </row>
    <row r="99" spans="1:4" x14ac:dyDescent="0.25">
      <c r="A99" s="1" t="s">
        <v>44</v>
      </c>
      <c r="B99" t="s">
        <v>18</v>
      </c>
      <c r="C99" t="s">
        <v>19</v>
      </c>
      <c r="D99">
        <v>1254900</v>
      </c>
    </row>
    <row r="100" spans="1:4" x14ac:dyDescent="0.25">
      <c r="A100" s="1" t="s">
        <v>45</v>
      </c>
      <c r="B100" t="s">
        <v>5</v>
      </c>
      <c r="C100" t="s">
        <v>6</v>
      </c>
      <c r="D100">
        <v>2164500</v>
      </c>
    </row>
    <row r="101" spans="1:4" x14ac:dyDescent="0.25">
      <c r="A101" s="1" t="s">
        <v>45</v>
      </c>
      <c r="B101" t="s">
        <v>5</v>
      </c>
      <c r="C101" t="s">
        <v>7</v>
      </c>
      <c r="D101">
        <v>1605500</v>
      </c>
    </row>
    <row r="102" spans="1:4" x14ac:dyDescent="0.25">
      <c r="A102" s="1" t="s">
        <v>45</v>
      </c>
      <c r="B102" t="s">
        <v>18</v>
      </c>
      <c r="C102" t="s">
        <v>19</v>
      </c>
      <c r="D102">
        <v>1308900</v>
      </c>
    </row>
    <row r="103" spans="1:4" x14ac:dyDescent="0.25">
      <c r="A103" s="1" t="s">
        <v>46</v>
      </c>
      <c r="B103" t="s">
        <v>5</v>
      </c>
      <c r="C103" t="s">
        <v>6</v>
      </c>
      <c r="D103">
        <v>2256000</v>
      </c>
    </row>
    <row r="104" spans="1:4" x14ac:dyDescent="0.25">
      <c r="A104" s="1" t="s">
        <v>46</v>
      </c>
      <c r="B104" t="s">
        <v>5</v>
      </c>
      <c r="C104" t="s">
        <v>7</v>
      </c>
      <c r="D104">
        <v>1558100</v>
      </c>
    </row>
    <row r="105" spans="1:4" x14ac:dyDescent="0.25">
      <c r="A105" s="1" t="s">
        <v>46</v>
      </c>
      <c r="B105" t="s">
        <v>18</v>
      </c>
      <c r="C105" t="s">
        <v>19</v>
      </c>
      <c r="D105">
        <v>1366700</v>
      </c>
    </row>
    <row r="106" spans="1:4" x14ac:dyDescent="0.25">
      <c r="A106" s="1" t="s">
        <v>47</v>
      </c>
      <c r="B106" t="s">
        <v>5</v>
      </c>
      <c r="C106" t="s">
        <v>6</v>
      </c>
      <c r="D106">
        <v>2332500</v>
      </c>
    </row>
    <row r="107" spans="1:4" x14ac:dyDescent="0.25">
      <c r="A107" s="1" t="s">
        <v>47</v>
      </c>
      <c r="B107" t="s">
        <v>5</v>
      </c>
      <c r="C107" t="s">
        <v>7</v>
      </c>
      <c r="D107">
        <v>1508100</v>
      </c>
    </row>
    <row r="108" spans="1:4" x14ac:dyDescent="0.25">
      <c r="A108" s="1" t="s">
        <v>47</v>
      </c>
      <c r="B108" t="s">
        <v>18</v>
      </c>
      <c r="C108" t="s">
        <v>19</v>
      </c>
      <c r="D108">
        <v>1440000</v>
      </c>
    </row>
    <row r="109" spans="1:4" x14ac:dyDescent="0.25">
      <c r="A109" s="1" t="s">
        <v>48</v>
      </c>
      <c r="B109" t="s">
        <v>5</v>
      </c>
      <c r="C109" t="s">
        <v>6</v>
      </c>
      <c r="D109">
        <v>2379500</v>
      </c>
    </row>
    <row r="110" spans="1:4" x14ac:dyDescent="0.25">
      <c r="A110" s="1" t="s">
        <v>48</v>
      </c>
      <c r="B110" t="s">
        <v>5</v>
      </c>
      <c r="C110" t="s">
        <v>7</v>
      </c>
      <c r="D110">
        <v>1450600</v>
      </c>
    </row>
    <row r="111" spans="1:4" x14ac:dyDescent="0.25">
      <c r="A111" s="1" t="s">
        <v>48</v>
      </c>
      <c r="B111" t="s">
        <v>18</v>
      </c>
      <c r="C111" t="s">
        <v>19</v>
      </c>
      <c r="D111">
        <v>1509600</v>
      </c>
    </row>
    <row r="112" spans="1:4" x14ac:dyDescent="0.25">
      <c r="A112" s="1" t="s">
        <v>49</v>
      </c>
      <c r="B112" t="s">
        <v>5</v>
      </c>
      <c r="C112" t="s">
        <v>6</v>
      </c>
      <c r="D112">
        <v>2444700</v>
      </c>
    </row>
    <row r="113" spans="1:4" x14ac:dyDescent="0.25">
      <c r="A113" s="1" t="s">
        <v>49</v>
      </c>
      <c r="B113" t="s">
        <v>5</v>
      </c>
      <c r="C113" t="s">
        <v>7</v>
      </c>
      <c r="D113">
        <v>1394400</v>
      </c>
    </row>
    <row r="114" spans="1:4" x14ac:dyDescent="0.25">
      <c r="A114" s="1" t="s">
        <v>49</v>
      </c>
      <c r="B114" t="s">
        <v>18</v>
      </c>
      <c r="C114" t="s">
        <v>19</v>
      </c>
      <c r="D114">
        <v>1592900</v>
      </c>
    </row>
    <row r="115" spans="1:4" x14ac:dyDescent="0.25">
      <c r="A115" s="1" t="s">
        <v>50</v>
      </c>
      <c r="B115" t="s">
        <v>5</v>
      </c>
      <c r="C115" t="s">
        <v>6</v>
      </c>
      <c r="D115">
        <v>2600000</v>
      </c>
    </row>
    <row r="116" spans="1:4" x14ac:dyDescent="0.25">
      <c r="A116" s="1" t="s">
        <v>50</v>
      </c>
      <c r="B116" t="s">
        <v>5</v>
      </c>
      <c r="C116" t="s">
        <v>7</v>
      </c>
      <c r="D116">
        <v>1318100</v>
      </c>
    </row>
    <row r="117" spans="1:4" x14ac:dyDescent="0.25">
      <c r="A117" s="1" t="s">
        <v>50</v>
      </c>
      <c r="B117" t="s">
        <v>18</v>
      </c>
      <c r="C117" t="s">
        <v>19</v>
      </c>
      <c r="D117">
        <v>1701000</v>
      </c>
    </row>
    <row r="118" spans="1:4" x14ac:dyDescent="0.25">
      <c r="A118" s="1" t="s">
        <v>51</v>
      </c>
      <c r="B118" t="s">
        <v>5</v>
      </c>
      <c r="C118" t="s">
        <v>6</v>
      </c>
      <c r="D118">
        <v>2733400</v>
      </c>
    </row>
    <row r="119" spans="1:4" x14ac:dyDescent="0.25">
      <c r="A119" s="1" t="s">
        <v>51</v>
      </c>
      <c r="B119" t="s">
        <v>5</v>
      </c>
      <c r="C119" t="s">
        <v>7</v>
      </c>
      <c r="D119">
        <v>1255700</v>
      </c>
    </row>
    <row r="120" spans="1:4" x14ac:dyDescent="0.25">
      <c r="A120" s="1" t="s">
        <v>51</v>
      </c>
      <c r="B120" t="s">
        <v>18</v>
      </c>
      <c r="C120" t="s">
        <v>19</v>
      </c>
      <c r="D120">
        <v>1776000</v>
      </c>
    </row>
    <row r="121" spans="1:4" x14ac:dyDescent="0.25">
      <c r="A121" s="1" t="s">
        <v>52</v>
      </c>
      <c r="B121" t="s">
        <v>5</v>
      </c>
      <c r="C121" t="s">
        <v>6</v>
      </c>
      <c r="D121">
        <v>2772900</v>
      </c>
    </row>
    <row r="122" spans="1:4" x14ac:dyDescent="0.25">
      <c r="A122" s="1" t="s">
        <v>52</v>
      </c>
      <c r="B122" t="s">
        <v>5</v>
      </c>
      <c r="C122" t="s">
        <v>7</v>
      </c>
      <c r="D122">
        <v>1216900</v>
      </c>
    </row>
    <row r="123" spans="1:4" x14ac:dyDescent="0.25">
      <c r="A123" s="1" t="s">
        <v>52</v>
      </c>
      <c r="B123" t="s">
        <v>18</v>
      </c>
      <c r="C123" t="s">
        <v>19</v>
      </c>
      <c r="D123">
        <v>1835700</v>
      </c>
    </row>
    <row r="124" spans="1:4" x14ac:dyDescent="0.25">
      <c r="A124" s="1" t="s">
        <v>53</v>
      </c>
      <c r="B124" t="s">
        <v>5</v>
      </c>
      <c r="C124" t="s">
        <v>6</v>
      </c>
      <c r="D124">
        <v>2849000</v>
      </c>
    </row>
    <row r="125" spans="1:4" x14ac:dyDescent="0.25">
      <c r="A125" s="1" t="s">
        <v>53</v>
      </c>
      <c r="B125" t="s">
        <v>5</v>
      </c>
      <c r="C125" t="s">
        <v>7</v>
      </c>
      <c r="D125">
        <v>1153900</v>
      </c>
    </row>
    <row r="126" spans="1:4" x14ac:dyDescent="0.25">
      <c r="A126" s="1" t="s">
        <v>53</v>
      </c>
      <c r="B126" t="s">
        <v>18</v>
      </c>
      <c r="C126" t="s">
        <v>19</v>
      </c>
      <c r="D126">
        <v>1921200</v>
      </c>
    </row>
    <row r="127" spans="1:4" x14ac:dyDescent="0.25">
      <c r="A127" s="1" t="s">
        <v>54</v>
      </c>
      <c r="B127" t="s">
        <v>5</v>
      </c>
      <c r="C127" t="s">
        <v>6</v>
      </c>
      <c r="D127">
        <v>2899200</v>
      </c>
    </row>
    <row r="128" spans="1:4" x14ac:dyDescent="0.25">
      <c r="A128" s="1" t="s">
        <v>54</v>
      </c>
      <c r="B128" t="s">
        <v>5</v>
      </c>
      <c r="C128" t="s">
        <v>7</v>
      </c>
      <c r="D128">
        <v>1103600</v>
      </c>
    </row>
    <row r="129" spans="1:4" x14ac:dyDescent="0.25">
      <c r="A129" s="1" t="s">
        <v>54</v>
      </c>
      <c r="B129" t="s">
        <v>18</v>
      </c>
      <c r="C129" t="s">
        <v>19</v>
      </c>
      <c r="D129">
        <v>1990900</v>
      </c>
    </row>
    <row r="130" spans="1:4" x14ac:dyDescent="0.25">
      <c r="A130" s="1" t="s">
        <v>55</v>
      </c>
      <c r="B130" t="s">
        <v>5</v>
      </c>
      <c r="C130" t="s">
        <v>6</v>
      </c>
      <c r="D130">
        <v>2960100</v>
      </c>
    </row>
    <row r="131" spans="1:4" x14ac:dyDescent="0.25">
      <c r="A131" s="1" t="s">
        <v>55</v>
      </c>
      <c r="B131" t="s">
        <v>5</v>
      </c>
      <c r="C131" t="s">
        <v>7</v>
      </c>
      <c r="D131">
        <v>1059400</v>
      </c>
    </row>
    <row r="132" spans="1:4" x14ac:dyDescent="0.25">
      <c r="A132" s="1" t="s">
        <v>55</v>
      </c>
      <c r="B132" t="s">
        <v>18</v>
      </c>
      <c r="C132" t="s">
        <v>19</v>
      </c>
      <c r="D132">
        <v>2060000</v>
      </c>
    </row>
    <row r="133" spans="1:4" x14ac:dyDescent="0.25">
      <c r="A133" s="1" t="s">
        <v>56</v>
      </c>
      <c r="B133" t="s">
        <v>5</v>
      </c>
      <c r="C133" t="s">
        <v>6</v>
      </c>
      <c r="D133">
        <v>3006000</v>
      </c>
    </row>
    <row r="134" spans="1:4" x14ac:dyDescent="0.25">
      <c r="A134" s="1" t="s">
        <v>56</v>
      </c>
      <c r="B134" t="s">
        <v>5</v>
      </c>
      <c r="C134" t="s">
        <v>7</v>
      </c>
      <c r="D134">
        <v>1017000</v>
      </c>
    </row>
    <row r="135" spans="1:4" x14ac:dyDescent="0.25">
      <c r="A135" s="1" t="s">
        <v>56</v>
      </c>
      <c r="B135" t="s">
        <v>18</v>
      </c>
      <c r="C135" t="s">
        <v>19</v>
      </c>
      <c r="D135">
        <v>2136900</v>
      </c>
    </row>
    <row r="136" spans="1:4" x14ac:dyDescent="0.25">
      <c r="A136" s="1" t="s">
        <v>57</v>
      </c>
      <c r="B136" t="s">
        <v>5</v>
      </c>
      <c r="C136" t="s">
        <v>6</v>
      </c>
      <c r="D136">
        <v>3043100</v>
      </c>
    </row>
    <row r="137" spans="1:4" x14ac:dyDescent="0.25">
      <c r="A137" s="1" t="s">
        <v>57</v>
      </c>
      <c r="B137" t="s">
        <v>5</v>
      </c>
      <c r="C137" t="s">
        <v>7</v>
      </c>
      <c r="D137">
        <v>966000</v>
      </c>
    </row>
    <row r="138" spans="1:4" x14ac:dyDescent="0.25">
      <c r="A138" s="1" t="s">
        <v>57</v>
      </c>
      <c r="B138" t="s">
        <v>18</v>
      </c>
      <c r="C138" t="s">
        <v>19</v>
      </c>
      <c r="D138">
        <v>2211400</v>
      </c>
    </row>
    <row r="139" spans="1:4" x14ac:dyDescent="0.25">
      <c r="A139" s="1" t="s">
        <v>58</v>
      </c>
      <c r="B139" t="s">
        <v>5</v>
      </c>
      <c r="C139" t="s">
        <v>6</v>
      </c>
      <c r="D139">
        <v>3015000</v>
      </c>
    </row>
    <row r="140" spans="1:4" x14ac:dyDescent="0.25">
      <c r="A140" s="1" t="s">
        <v>58</v>
      </c>
      <c r="B140" t="s">
        <v>5</v>
      </c>
      <c r="C140" t="s">
        <v>7</v>
      </c>
      <c r="D140">
        <v>923400</v>
      </c>
    </row>
    <row r="141" spans="1:4" x14ac:dyDescent="0.25">
      <c r="A141" s="1" t="s">
        <v>58</v>
      </c>
      <c r="B141" t="s">
        <v>18</v>
      </c>
      <c r="C141" t="s">
        <v>19</v>
      </c>
      <c r="D141">
        <v>2277700</v>
      </c>
    </row>
    <row r="142" spans="1:4" x14ac:dyDescent="0.25">
      <c r="A142" s="1" t="s">
        <v>59</v>
      </c>
      <c r="B142" t="s">
        <v>5</v>
      </c>
      <c r="C142" t="s">
        <v>6</v>
      </c>
      <c r="D142">
        <v>3038000</v>
      </c>
    </row>
    <row r="143" spans="1:4" x14ac:dyDescent="0.25">
      <c r="A143" s="1" t="s">
        <v>59</v>
      </c>
      <c r="B143" t="s">
        <v>5</v>
      </c>
      <c r="C143" t="s">
        <v>7</v>
      </c>
      <c r="D143">
        <v>886000</v>
      </c>
    </row>
    <row r="144" spans="1:4" x14ac:dyDescent="0.25">
      <c r="A144" s="1" t="s">
        <v>59</v>
      </c>
      <c r="B144" t="s">
        <v>18</v>
      </c>
      <c r="C144" t="s">
        <v>19</v>
      </c>
      <c r="D144">
        <v>2334400</v>
      </c>
    </row>
    <row r="145" spans="1:4" x14ac:dyDescent="0.25">
      <c r="A145" s="1" t="s">
        <v>60</v>
      </c>
      <c r="B145" t="s">
        <v>5</v>
      </c>
      <c r="C145" t="s">
        <v>6</v>
      </c>
      <c r="D145">
        <v>3043600</v>
      </c>
    </row>
    <row r="146" spans="1:4" x14ac:dyDescent="0.25">
      <c r="A146" s="1" t="s">
        <v>60</v>
      </c>
      <c r="B146" t="s">
        <v>5</v>
      </c>
      <c r="C146" t="s">
        <v>7</v>
      </c>
      <c r="D146">
        <v>851600</v>
      </c>
    </row>
    <row r="147" spans="1:4" x14ac:dyDescent="0.25">
      <c r="A147" s="1" t="s">
        <v>60</v>
      </c>
      <c r="B147" t="s">
        <v>18</v>
      </c>
      <c r="C147" t="s">
        <v>19</v>
      </c>
      <c r="D147">
        <v>2379500</v>
      </c>
    </row>
    <row r="148" spans="1:4" x14ac:dyDescent="0.25">
      <c r="A148" s="1" t="s">
        <v>61</v>
      </c>
      <c r="B148" t="s">
        <v>5</v>
      </c>
      <c r="C148" t="s">
        <v>6</v>
      </c>
      <c r="D148">
        <v>3047100</v>
      </c>
    </row>
    <row r="149" spans="1:4" x14ac:dyDescent="0.25">
      <c r="A149" s="1" t="s">
        <v>61</v>
      </c>
      <c r="B149" t="s">
        <v>5</v>
      </c>
      <c r="C149" t="s">
        <v>7</v>
      </c>
      <c r="D149">
        <v>818600</v>
      </c>
    </row>
    <row r="150" spans="1:4" x14ac:dyDescent="0.25">
      <c r="A150" s="1" t="s">
        <v>61</v>
      </c>
      <c r="B150" t="s">
        <v>18</v>
      </c>
      <c r="C150" t="s">
        <v>19</v>
      </c>
      <c r="D150">
        <v>2429500</v>
      </c>
    </row>
    <row r="151" spans="1:4" x14ac:dyDescent="0.25">
      <c r="A151" s="1" t="s">
        <v>62</v>
      </c>
      <c r="B151" t="s">
        <v>5</v>
      </c>
      <c r="C151" t="s">
        <v>6</v>
      </c>
      <c r="D151">
        <v>3075000</v>
      </c>
    </row>
    <row r="152" spans="1:4" x14ac:dyDescent="0.25">
      <c r="A152" s="1" t="s">
        <v>62</v>
      </c>
      <c r="B152" t="s">
        <v>5</v>
      </c>
      <c r="C152" t="s">
        <v>7</v>
      </c>
      <c r="D152">
        <v>791600</v>
      </c>
    </row>
    <row r="153" spans="1:4" x14ac:dyDescent="0.25">
      <c r="A153" s="1" t="s">
        <v>62</v>
      </c>
      <c r="B153" t="s">
        <v>18</v>
      </c>
      <c r="C153" t="s">
        <v>19</v>
      </c>
      <c r="D153">
        <v>2473600</v>
      </c>
    </row>
    <row r="154" spans="1:4" x14ac:dyDescent="0.25">
      <c r="A154" s="1" t="s">
        <v>63</v>
      </c>
      <c r="B154" t="s">
        <v>5</v>
      </c>
      <c r="C154" t="s">
        <v>6</v>
      </c>
      <c r="D154">
        <v>3083900</v>
      </c>
    </row>
    <row r="155" spans="1:4" x14ac:dyDescent="0.25">
      <c r="A155" s="1" t="s">
        <v>63</v>
      </c>
      <c r="B155" t="s">
        <v>5</v>
      </c>
      <c r="C155" t="s">
        <v>7</v>
      </c>
      <c r="D155">
        <v>752300</v>
      </c>
    </row>
    <row r="156" spans="1:4" x14ac:dyDescent="0.25">
      <c r="A156" s="1" t="s">
        <v>63</v>
      </c>
      <c r="B156" t="s">
        <v>18</v>
      </c>
      <c r="C156" t="s">
        <v>19</v>
      </c>
      <c r="D156">
        <v>2518400</v>
      </c>
    </row>
    <row r="157" spans="1:4" x14ac:dyDescent="0.25">
      <c r="A157" s="1" t="s">
        <v>64</v>
      </c>
      <c r="B157" t="s">
        <v>5</v>
      </c>
      <c r="C157" t="s">
        <v>6</v>
      </c>
      <c r="D157">
        <v>3098100</v>
      </c>
    </row>
    <row r="158" spans="1:4" x14ac:dyDescent="0.25">
      <c r="A158" s="1" t="s">
        <v>64</v>
      </c>
      <c r="B158" t="s">
        <v>5</v>
      </c>
      <c r="C158" t="s">
        <v>7</v>
      </c>
      <c r="D158">
        <v>723900</v>
      </c>
    </row>
    <row r="159" spans="1:4" x14ac:dyDescent="0.25">
      <c r="A159" s="1" t="s">
        <v>64</v>
      </c>
      <c r="B159" t="s">
        <v>18</v>
      </c>
      <c r="C159" t="s">
        <v>19</v>
      </c>
      <c r="D159">
        <v>2553600</v>
      </c>
    </row>
    <row r="160" spans="1:4" x14ac:dyDescent="0.25">
      <c r="A160" s="1" t="s">
        <v>65</v>
      </c>
      <c r="B160" t="s">
        <v>5</v>
      </c>
      <c r="C160" t="s">
        <v>6</v>
      </c>
      <c r="D160">
        <v>3118400</v>
      </c>
    </row>
    <row r="161" spans="1:4" x14ac:dyDescent="0.25">
      <c r="A161" s="1" t="s">
        <v>65</v>
      </c>
      <c r="B161" t="s">
        <v>5</v>
      </c>
      <c r="C161" t="s">
        <v>7</v>
      </c>
      <c r="D161">
        <v>693500</v>
      </c>
    </row>
    <row r="162" spans="1:4" x14ac:dyDescent="0.25">
      <c r="A162" s="1" t="s">
        <v>65</v>
      </c>
      <c r="B162" t="s">
        <v>18</v>
      </c>
      <c r="C162" t="s">
        <v>19</v>
      </c>
      <c r="D162">
        <v>2602900</v>
      </c>
    </row>
    <row r="163" spans="1:4" x14ac:dyDescent="0.25">
      <c r="A163" s="1" t="s">
        <v>66</v>
      </c>
      <c r="B163" t="s">
        <v>5</v>
      </c>
      <c r="C163" t="s">
        <v>6</v>
      </c>
      <c r="D163">
        <v>3142100</v>
      </c>
    </row>
    <row r="164" spans="1:4" x14ac:dyDescent="0.25">
      <c r="A164" s="1" t="s">
        <v>66</v>
      </c>
      <c r="B164" t="s">
        <v>5</v>
      </c>
      <c r="C164" t="s">
        <v>7</v>
      </c>
      <c r="D164">
        <v>670600</v>
      </c>
    </row>
    <row r="165" spans="1:4" x14ac:dyDescent="0.25">
      <c r="A165" s="1" t="s">
        <v>66</v>
      </c>
      <c r="B165" t="s">
        <v>18</v>
      </c>
      <c r="C165" t="s">
        <v>19</v>
      </c>
      <c r="D165">
        <v>2635300</v>
      </c>
    </row>
    <row r="166" spans="1:4" x14ac:dyDescent="0.25">
      <c r="A166" s="1" t="s">
        <v>67</v>
      </c>
      <c r="B166" t="s">
        <v>5</v>
      </c>
      <c r="C166" t="s">
        <v>6</v>
      </c>
      <c r="D166">
        <v>3157200</v>
      </c>
    </row>
    <row r="167" spans="1:4" x14ac:dyDescent="0.25">
      <c r="A167" s="1" t="s">
        <v>67</v>
      </c>
      <c r="B167" t="s">
        <v>5</v>
      </c>
      <c r="C167" t="s">
        <v>7</v>
      </c>
      <c r="D167">
        <v>631100</v>
      </c>
    </row>
    <row r="168" spans="1:4" x14ac:dyDescent="0.25">
      <c r="A168" s="1" t="s">
        <v>67</v>
      </c>
      <c r="B168" t="s">
        <v>18</v>
      </c>
      <c r="C168" t="s">
        <v>19</v>
      </c>
      <c r="D168">
        <v>2687100</v>
      </c>
    </row>
    <row r="169" spans="1:4" x14ac:dyDescent="0.25">
      <c r="A169" s="1" t="s">
        <v>68</v>
      </c>
      <c r="B169" t="s">
        <v>5</v>
      </c>
      <c r="C169" t="s">
        <v>6</v>
      </c>
      <c r="D169">
        <v>3173000</v>
      </c>
    </row>
    <row r="170" spans="1:4" x14ac:dyDescent="0.25">
      <c r="A170" s="1" t="s">
        <v>68</v>
      </c>
      <c r="B170" t="s">
        <v>5</v>
      </c>
      <c r="C170" t="s">
        <v>7</v>
      </c>
      <c r="D170">
        <v>601200</v>
      </c>
    </row>
    <row r="171" spans="1:4" x14ac:dyDescent="0.25">
      <c r="A171" s="1" t="s">
        <v>68</v>
      </c>
      <c r="B171" t="s">
        <v>18</v>
      </c>
      <c r="C171" t="s">
        <v>19</v>
      </c>
      <c r="D171">
        <v>2739300</v>
      </c>
    </row>
    <row r="172" spans="1:4" x14ac:dyDescent="0.25">
      <c r="A172" s="1" t="s">
        <v>69</v>
      </c>
      <c r="B172" t="s">
        <v>5</v>
      </c>
      <c r="C172" t="s">
        <v>6</v>
      </c>
      <c r="D172">
        <v>3215100</v>
      </c>
    </row>
    <row r="173" spans="1:4" x14ac:dyDescent="0.25">
      <c r="A173" s="1" t="s">
        <v>69</v>
      </c>
      <c r="B173" t="s">
        <v>5</v>
      </c>
      <c r="C173" t="s">
        <v>7</v>
      </c>
      <c r="D173">
        <v>570800</v>
      </c>
    </row>
    <row r="174" spans="1:4" x14ac:dyDescent="0.25">
      <c r="A174" s="1" t="s">
        <v>69</v>
      </c>
      <c r="B174" t="s">
        <v>18</v>
      </c>
      <c r="C174" t="s">
        <v>19</v>
      </c>
      <c r="D174">
        <v>2795200</v>
      </c>
    </row>
    <row r="175" spans="1:4" x14ac:dyDescent="0.25">
      <c r="A175" s="1" t="s">
        <v>70</v>
      </c>
      <c r="B175" t="s">
        <v>5</v>
      </c>
      <c r="C175" t="s">
        <v>6</v>
      </c>
      <c r="D175">
        <v>3235200</v>
      </c>
    </row>
    <row r="176" spans="1:4" x14ac:dyDescent="0.25">
      <c r="A176" s="1" t="s">
        <v>70</v>
      </c>
      <c r="B176" t="s">
        <v>5</v>
      </c>
      <c r="C176" t="s">
        <v>7</v>
      </c>
      <c r="D176">
        <v>545200</v>
      </c>
    </row>
    <row r="177" spans="1:4" x14ac:dyDescent="0.25">
      <c r="A177" s="1" t="s">
        <v>70</v>
      </c>
      <c r="B177" t="s">
        <v>18</v>
      </c>
      <c r="C177" t="s">
        <v>19</v>
      </c>
      <c r="D177">
        <v>2858900</v>
      </c>
    </row>
    <row r="178" spans="1:4" x14ac:dyDescent="0.25">
      <c r="A178" s="1" t="s">
        <v>71</v>
      </c>
      <c r="B178" t="s">
        <v>5</v>
      </c>
      <c r="C178" t="s">
        <v>6</v>
      </c>
      <c r="D178">
        <v>3255400</v>
      </c>
    </row>
    <row r="179" spans="1:4" x14ac:dyDescent="0.25">
      <c r="A179" s="1" t="s">
        <v>71</v>
      </c>
      <c r="B179" t="s">
        <v>5</v>
      </c>
      <c r="C179" t="s">
        <v>7</v>
      </c>
      <c r="D179">
        <v>523200</v>
      </c>
    </row>
    <row r="180" spans="1:4" x14ac:dyDescent="0.25">
      <c r="A180" s="1" t="s">
        <v>71</v>
      </c>
      <c r="B180" t="s">
        <v>18</v>
      </c>
      <c r="C180" t="s">
        <v>19</v>
      </c>
      <c r="D180">
        <v>2927700</v>
      </c>
    </row>
    <row r="181" spans="1:4" x14ac:dyDescent="0.25">
      <c r="A181" s="1" t="s">
        <v>72</v>
      </c>
      <c r="B181" t="s">
        <v>5</v>
      </c>
      <c r="C181" t="s">
        <v>6</v>
      </c>
      <c r="D181">
        <v>3255300</v>
      </c>
    </row>
    <row r="182" spans="1:4" x14ac:dyDescent="0.25">
      <c r="A182" s="1" t="s">
        <v>72</v>
      </c>
      <c r="B182" t="s">
        <v>5</v>
      </c>
      <c r="C182" t="s">
        <v>7</v>
      </c>
      <c r="D182">
        <v>500900</v>
      </c>
    </row>
    <row r="183" spans="1:4" x14ac:dyDescent="0.25">
      <c r="A183" s="1" t="s">
        <v>72</v>
      </c>
      <c r="B183" t="s">
        <v>18</v>
      </c>
      <c r="C183" t="s">
        <v>19</v>
      </c>
      <c r="D183">
        <v>2989500</v>
      </c>
    </row>
    <row r="184" spans="1:4" x14ac:dyDescent="0.25">
      <c r="A184" s="1" t="s">
        <v>73</v>
      </c>
      <c r="B184" t="s">
        <v>5</v>
      </c>
      <c r="C184" t="s">
        <v>6</v>
      </c>
      <c r="D184">
        <v>3261900</v>
      </c>
    </row>
    <row r="185" spans="1:4" x14ac:dyDescent="0.25">
      <c r="A185" s="1" t="s">
        <v>73</v>
      </c>
      <c r="B185" t="s">
        <v>5</v>
      </c>
      <c r="C185" t="s">
        <v>7</v>
      </c>
      <c r="D185">
        <v>480600</v>
      </c>
    </row>
    <row r="186" spans="1:4" x14ac:dyDescent="0.25">
      <c r="A186" s="1" t="s">
        <v>73</v>
      </c>
      <c r="B186" t="s">
        <v>18</v>
      </c>
      <c r="C186" t="s">
        <v>19</v>
      </c>
      <c r="D186">
        <v>3068400</v>
      </c>
    </row>
    <row r="187" spans="1:4" x14ac:dyDescent="0.25">
      <c r="A187" s="1" t="s">
        <v>74</v>
      </c>
      <c r="B187" t="s">
        <v>5</v>
      </c>
      <c r="C187" t="s">
        <v>7</v>
      </c>
      <c r="D187">
        <v>3240700</v>
      </c>
    </row>
    <row r="188" spans="1:4" x14ac:dyDescent="0.25">
      <c r="A188" s="1" t="s">
        <v>74</v>
      </c>
      <c r="B188" t="s">
        <v>5</v>
      </c>
      <c r="C188" t="s">
        <v>6</v>
      </c>
      <c r="D188">
        <v>456200</v>
      </c>
    </row>
    <row r="189" spans="1:4" x14ac:dyDescent="0.25">
      <c r="A189" s="1" t="s">
        <v>74</v>
      </c>
      <c r="B189" t="s">
        <v>18</v>
      </c>
      <c r="C189" t="s">
        <v>7</v>
      </c>
      <c r="D189">
        <v>170900</v>
      </c>
    </row>
    <row r="190" spans="1:4" x14ac:dyDescent="0.25">
      <c r="A190" s="1" t="s">
        <v>74</v>
      </c>
      <c r="B190" t="s">
        <v>18</v>
      </c>
      <c r="C190" t="s">
        <v>6</v>
      </c>
      <c r="D190">
        <v>2989400</v>
      </c>
    </row>
    <row r="191" spans="1:4" x14ac:dyDescent="0.25">
      <c r="A191" s="1" t="s">
        <v>75</v>
      </c>
      <c r="B191" t="s">
        <v>5</v>
      </c>
      <c r="C191" t="s">
        <v>7</v>
      </c>
      <c r="D191">
        <v>3195500</v>
      </c>
    </row>
    <row r="192" spans="1:4" x14ac:dyDescent="0.25">
      <c r="A192" s="1" t="s">
        <v>75</v>
      </c>
      <c r="B192" t="s">
        <v>5</v>
      </c>
      <c r="C192" t="s">
        <v>6</v>
      </c>
      <c r="D192">
        <v>435600</v>
      </c>
    </row>
    <row r="193" spans="1:4" x14ac:dyDescent="0.25">
      <c r="A193" s="1" t="s">
        <v>75</v>
      </c>
      <c r="B193" t="s">
        <v>18</v>
      </c>
      <c r="C193" t="s">
        <v>7</v>
      </c>
      <c r="D193">
        <v>212200</v>
      </c>
    </row>
    <row r="194" spans="1:4" x14ac:dyDescent="0.25">
      <c r="A194" s="1" t="s">
        <v>75</v>
      </c>
      <c r="B194" t="s">
        <v>18</v>
      </c>
      <c r="C194" t="s">
        <v>6</v>
      </c>
      <c r="D194">
        <v>3035700</v>
      </c>
    </row>
    <row r="195" spans="1:4" x14ac:dyDescent="0.25">
      <c r="A195" s="1" t="s">
        <v>76</v>
      </c>
      <c r="B195" t="s">
        <v>5</v>
      </c>
      <c r="C195" t="s">
        <v>7</v>
      </c>
      <c r="D195">
        <v>3121600</v>
      </c>
    </row>
    <row r="196" spans="1:4" x14ac:dyDescent="0.25">
      <c r="A196" s="1" t="s">
        <v>76</v>
      </c>
      <c r="B196" t="s">
        <v>5</v>
      </c>
      <c r="C196" t="s">
        <v>6</v>
      </c>
      <c r="D196">
        <v>418400</v>
      </c>
    </row>
    <row r="197" spans="1:4" x14ac:dyDescent="0.25">
      <c r="A197" s="1" t="s">
        <v>76</v>
      </c>
      <c r="B197" t="s">
        <v>18</v>
      </c>
      <c r="C197" t="s">
        <v>7</v>
      </c>
      <c r="D197">
        <v>251600</v>
      </c>
    </row>
    <row r="198" spans="1:4" x14ac:dyDescent="0.25">
      <c r="A198" s="1" t="s">
        <v>76</v>
      </c>
      <c r="B198" t="s">
        <v>18</v>
      </c>
      <c r="C198" t="s">
        <v>6</v>
      </c>
      <c r="D198">
        <v>3073400</v>
      </c>
    </row>
    <row r="199" spans="1:4" x14ac:dyDescent="0.25">
      <c r="A199" s="1" t="s">
        <v>77</v>
      </c>
      <c r="B199" t="s">
        <v>5</v>
      </c>
      <c r="C199" t="s">
        <v>7</v>
      </c>
      <c r="D199">
        <v>3063500</v>
      </c>
    </row>
    <row r="200" spans="1:4" x14ac:dyDescent="0.25">
      <c r="A200" s="1" t="s">
        <v>77</v>
      </c>
      <c r="B200" t="s">
        <v>5</v>
      </c>
      <c r="C200" t="s">
        <v>6</v>
      </c>
      <c r="D200">
        <v>398500</v>
      </c>
    </row>
    <row r="201" spans="1:4" x14ac:dyDescent="0.25">
      <c r="A201" s="1" t="s">
        <v>77</v>
      </c>
      <c r="B201" t="s">
        <v>18</v>
      </c>
      <c r="C201" t="s">
        <v>7</v>
      </c>
      <c r="D201">
        <v>297400</v>
      </c>
    </row>
    <row r="202" spans="1:4" x14ac:dyDescent="0.25">
      <c r="A202" s="1" t="s">
        <v>77</v>
      </c>
      <c r="B202" t="s">
        <v>18</v>
      </c>
      <c r="C202" t="s">
        <v>6</v>
      </c>
      <c r="D202">
        <v>3120500</v>
      </c>
    </row>
    <row r="203" spans="1:4" x14ac:dyDescent="0.25">
      <c r="A203" s="1" t="s">
        <v>78</v>
      </c>
      <c r="B203" t="s">
        <v>5</v>
      </c>
      <c r="C203" t="s">
        <v>7</v>
      </c>
      <c r="D203">
        <v>2988500</v>
      </c>
    </row>
    <row r="204" spans="1:4" x14ac:dyDescent="0.25">
      <c r="A204" s="1" t="s">
        <v>78</v>
      </c>
      <c r="B204" t="s">
        <v>5</v>
      </c>
      <c r="C204" t="s">
        <v>6</v>
      </c>
      <c r="D204">
        <v>380800</v>
      </c>
    </row>
    <row r="205" spans="1:4" x14ac:dyDescent="0.25">
      <c r="A205" s="1" t="s">
        <v>78</v>
      </c>
      <c r="B205" t="s">
        <v>18</v>
      </c>
      <c r="C205" t="s">
        <v>7</v>
      </c>
      <c r="D205">
        <v>385300</v>
      </c>
    </row>
    <row r="206" spans="1:4" x14ac:dyDescent="0.25">
      <c r="A206" s="1" t="s">
        <v>78</v>
      </c>
      <c r="B206" t="s">
        <v>18</v>
      </c>
      <c r="C206" t="s">
        <v>6</v>
      </c>
      <c r="D206">
        <v>3165600</v>
      </c>
    </row>
    <row r="207" spans="1:4" x14ac:dyDescent="0.25">
      <c r="A207" s="1" t="s">
        <v>79</v>
      </c>
      <c r="B207" t="s">
        <v>5</v>
      </c>
      <c r="C207" t="s">
        <v>7</v>
      </c>
      <c r="D207">
        <v>2891100</v>
      </c>
    </row>
    <row r="208" spans="1:4" x14ac:dyDescent="0.25">
      <c r="A208" s="1" t="s">
        <v>79</v>
      </c>
      <c r="B208" t="s">
        <v>5</v>
      </c>
      <c r="C208" t="s">
        <v>6</v>
      </c>
      <c r="D208">
        <v>361100</v>
      </c>
    </row>
    <row r="209" spans="1:4" x14ac:dyDescent="0.25">
      <c r="A209" s="1" t="s">
        <v>79</v>
      </c>
      <c r="B209" t="s">
        <v>18</v>
      </c>
      <c r="C209" t="s">
        <v>7</v>
      </c>
      <c r="D209">
        <v>506100</v>
      </c>
    </row>
    <row r="210" spans="1:4" x14ac:dyDescent="0.25">
      <c r="A210" s="1" t="s">
        <v>79</v>
      </c>
      <c r="B210" t="s">
        <v>18</v>
      </c>
      <c r="C210" t="s">
        <v>6</v>
      </c>
      <c r="D210">
        <v>3206300</v>
      </c>
    </row>
    <row r="211" spans="1:4" x14ac:dyDescent="0.25">
      <c r="A211" s="1" t="s">
        <v>80</v>
      </c>
      <c r="B211" t="s">
        <v>5</v>
      </c>
      <c r="C211" t="s">
        <v>7</v>
      </c>
      <c r="D211">
        <v>2797700</v>
      </c>
    </row>
    <row r="212" spans="1:4" x14ac:dyDescent="0.25">
      <c r="A212" s="1" t="s">
        <v>80</v>
      </c>
      <c r="B212" t="s">
        <v>5</v>
      </c>
      <c r="C212" t="s">
        <v>6</v>
      </c>
      <c r="D212">
        <v>351100</v>
      </c>
    </row>
    <row r="213" spans="1:4" x14ac:dyDescent="0.25">
      <c r="A213" s="1" t="s">
        <v>80</v>
      </c>
      <c r="B213" t="s">
        <v>18</v>
      </c>
      <c r="C213" t="s">
        <v>7</v>
      </c>
      <c r="D213">
        <v>626500</v>
      </c>
    </row>
    <row r="214" spans="1:4" x14ac:dyDescent="0.25">
      <c r="A214" s="1" t="s">
        <v>80</v>
      </c>
      <c r="B214" t="s">
        <v>18</v>
      </c>
      <c r="C214" t="s">
        <v>6</v>
      </c>
      <c r="D214">
        <v>3242000</v>
      </c>
    </row>
    <row r="215" spans="1:4" x14ac:dyDescent="0.25">
      <c r="A215" s="1" t="s">
        <v>81</v>
      </c>
      <c r="B215" t="s">
        <v>5</v>
      </c>
      <c r="C215" t="s">
        <v>7</v>
      </c>
      <c r="D215">
        <v>2740800</v>
      </c>
    </row>
    <row r="216" spans="1:4" x14ac:dyDescent="0.25">
      <c r="A216" s="1" t="s">
        <v>81</v>
      </c>
      <c r="B216" t="s">
        <v>5</v>
      </c>
      <c r="C216" t="s">
        <v>6</v>
      </c>
      <c r="D216">
        <v>340200</v>
      </c>
    </row>
    <row r="217" spans="1:4" x14ac:dyDescent="0.25">
      <c r="A217" s="1" t="s">
        <v>81</v>
      </c>
      <c r="B217" t="s">
        <v>18</v>
      </c>
      <c r="C217" t="s">
        <v>7</v>
      </c>
      <c r="D217">
        <v>750400</v>
      </c>
    </row>
    <row r="218" spans="1:4" x14ac:dyDescent="0.25">
      <c r="A218" s="1" t="s">
        <v>81</v>
      </c>
      <c r="B218" t="s">
        <v>18</v>
      </c>
      <c r="C218" t="s">
        <v>6</v>
      </c>
      <c r="D218">
        <v>3280800</v>
      </c>
    </row>
    <row r="219" spans="1:4" x14ac:dyDescent="0.25">
      <c r="A219" s="1" t="s">
        <v>82</v>
      </c>
      <c r="B219" t="s">
        <v>5</v>
      </c>
      <c r="C219" t="s">
        <v>7</v>
      </c>
      <c r="D219">
        <v>2625200</v>
      </c>
    </row>
    <row r="220" spans="1:4" x14ac:dyDescent="0.25">
      <c r="A220" s="1" t="s">
        <v>82</v>
      </c>
      <c r="B220" t="s">
        <v>5</v>
      </c>
      <c r="C220" t="s">
        <v>6</v>
      </c>
      <c r="D220">
        <v>330900</v>
      </c>
    </row>
    <row r="221" spans="1:4" x14ac:dyDescent="0.25">
      <c r="A221" s="1" t="s">
        <v>82</v>
      </c>
      <c r="B221" t="s">
        <v>18</v>
      </c>
      <c r="C221" t="s">
        <v>7</v>
      </c>
      <c r="D221">
        <v>858400</v>
      </c>
    </row>
    <row r="222" spans="1:4" x14ac:dyDescent="0.25">
      <c r="A222" s="1" t="s">
        <v>82</v>
      </c>
      <c r="B222" t="s">
        <v>18</v>
      </c>
      <c r="C222" t="s">
        <v>6</v>
      </c>
      <c r="D222">
        <v>3321300</v>
      </c>
    </row>
    <row r="223" spans="1:4" x14ac:dyDescent="0.25">
      <c r="A223" s="1" t="s">
        <v>83</v>
      </c>
      <c r="B223" t="s">
        <v>5</v>
      </c>
      <c r="C223" t="s">
        <v>7</v>
      </c>
      <c r="D223">
        <v>2531800</v>
      </c>
    </row>
    <row r="224" spans="1:4" x14ac:dyDescent="0.25">
      <c r="A224" s="1" t="s">
        <v>83</v>
      </c>
      <c r="B224" t="s">
        <v>5</v>
      </c>
      <c r="C224" t="s">
        <v>6</v>
      </c>
      <c r="D224">
        <v>320000</v>
      </c>
    </row>
    <row r="225" spans="1:4" x14ac:dyDescent="0.25">
      <c r="A225" s="1" t="s">
        <v>83</v>
      </c>
      <c r="B225" t="s">
        <v>18</v>
      </c>
      <c r="C225" t="s">
        <v>7</v>
      </c>
      <c r="D225">
        <v>963200</v>
      </c>
    </row>
    <row r="226" spans="1:4" x14ac:dyDescent="0.25">
      <c r="A226" s="1" t="s">
        <v>83</v>
      </c>
      <c r="B226" t="s">
        <v>18</v>
      </c>
      <c r="C226" t="s">
        <v>6</v>
      </c>
      <c r="D226">
        <v>3363400</v>
      </c>
    </row>
    <row r="227" spans="1:4" x14ac:dyDescent="0.25">
      <c r="A227" s="1" t="s">
        <v>84</v>
      </c>
      <c r="B227" t="s">
        <v>5</v>
      </c>
      <c r="C227" t="s">
        <v>7</v>
      </c>
      <c r="D227">
        <v>2438200</v>
      </c>
    </row>
    <row r="228" spans="1:4" x14ac:dyDescent="0.25">
      <c r="A228" s="1" t="s">
        <v>84</v>
      </c>
      <c r="B228" t="s">
        <v>5</v>
      </c>
      <c r="C228" t="s">
        <v>6</v>
      </c>
      <c r="D228">
        <v>309900</v>
      </c>
    </row>
    <row r="229" spans="1:4" x14ac:dyDescent="0.25">
      <c r="A229" s="1" t="s">
        <v>84</v>
      </c>
      <c r="B229" t="s">
        <v>18</v>
      </c>
      <c r="C229" t="s">
        <v>7</v>
      </c>
      <c r="D229">
        <v>1063400</v>
      </c>
    </row>
    <row r="230" spans="1:4" x14ac:dyDescent="0.25">
      <c r="A230" s="1" t="s">
        <v>84</v>
      </c>
      <c r="B230" t="s">
        <v>18</v>
      </c>
      <c r="C230" t="s">
        <v>6</v>
      </c>
      <c r="D230">
        <v>3401700</v>
      </c>
    </row>
    <row r="231" spans="1:4" x14ac:dyDescent="0.25">
      <c r="A231" s="1" t="s">
        <v>85</v>
      </c>
      <c r="B231" t="s">
        <v>5</v>
      </c>
      <c r="C231" t="s">
        <v>7</v>
      </c>
      <c r="D231">
        <v>2356400</v>
      </c>
    </row>
    <row r="232" spans="1:4" x14ac:dyDescent="0.25">
      <c r="A232" s="1" t="s">
        <v>85</v>
      </c>
      <c r="B232" t="s">
        <v>5</v>
      </c>
      <c r="C232" t="s">
        <v>6</v>
      </c>
      <c r="D232">
        <v>300200</v>
      </c>
    </row>
    <row r="233" spans="1:4" x14ac:dyDescent="0.25">
      <c r="A233" s="1" t="s">
        <v>85</v>
      </c>
      <c r="B233" t="s">
        <v>18</v>
      </c>
      <c r="C233" t="s">
        <v>7</v>
      </c>
      <c r="D233">
        <v>1152500</v>
      </c>
    </row>
    <row r="234" spans="1:4" x14ac:dyDescent="0.25">
      <c r="A234" s="1" t="s">
        <v>85</v>
      </c>
      <c r="B234" t="s">
        <v>18</v>
      </c>
      <c r="C234" t="s">
        <v>6</v>
      </c>
      <c r="D234">
        <v>3434600</v>
      </c>
    </row>
    <row r="235" spans="1:4" x14ac:dyDescent="0.25">
      <c r="A235" s="1" t="s">
        <v>86</v>
      </c>
      <c r="B235" t="s">
        <v>5</v>
      </c>
      <c r="C235" t="s">
        <v>7</v>
      </c>
      <c r="D235">
        <v>2294400</v>
      </c>
    </row>
    <row r="236" spans="1:4" x14ac:dyDescent="0.25">
      <c r="A236" s="1" t="s">
        <v>86</v>
      </c>
      <c r="B236" t="s">
        <v>5</v>
      </c>
      <c r="C236" t="s">
        <v>6</v>
      </c>
      <c r="D236">
        <v>289800</v>
      </c>
    </row>
    <row r="237" spans="1:4" x14ac:dyDescent="0.25">
      <c r="A237" s="1" t="s">
        <v>86</v>
      </c>
      <c r="B237" t="s">
        <v>18</v>
      </c>
      <c r="C237" t="s">
        <v>7</v>
      </c>
      <c r="D237">
        <v>1231800</v>
      </c>
    </row>
    <row r="238" spans="1:4" x14ac:dyDescent="0.25">
      <c r="A238" s="1" t="s">
        <v>86</v>
      </c>
      <c r="B238" t="s">
        <v>18</v>
      </c>
      <c r="C238" t="s">
        <v>6</v>
      </c>
      <c r="D238">
        <v>3472700</v>
      </c>
    </row>
    <row r="239" spans="1:4" x14ac:dyDescent="0.25">
      <c r="A239" s="1" t="s">
        <v>87</v>
      </c>
      <c r="B239" t="s">
        <v>5</v>
      </c>
      <c r="C239" t="s">
        <v>7</v>
      </c>
      <c r="D239">
        <v>2233700</v>
      </c>
    </row>
    <row r="240" spans="1:4" x14ac:dyDescent="0.25">
      <c r="A240" s="1" t="s">
        <v>87</v>
      </c>
      <c r="B240" t="s">
        <v>5</v>
      </c>
      <c r="C240" t="s">
        <v>6</v>
      </c>
      <c r="D240">
        <v>280600</v>
      </c>
    </row>
    <row r="241" spans="1:4" x14ac:dyDescent="0.25">
      <c r="A241" s="1" t="s">
        <v>87</v>
      </c>
      <c r="B241" t="s">
        <v>18</v>
      </c>
      <c r="C241" t="s">
        <v>7</v>
      </c>
      <c r="D241">
        <v>1297200</v>
      </c>
    </row>
    <row r="242" spans="1:4" x14ac:dyDescent="0.25">
      <c r="A242" s="1" t="s">
        <v>87</v>
      </c>
      <c r="B242" t="s">
        <v>18</v>
      </c>
      <c r="C242" t="s">
        <v>6</v>
      </c>
      <c r="D242">
        <v>3495800</v>
      </c>
    </row>
    <row r="243" spans="1:4" x14ac:dyDescent="0.25">
      <c r="A243" s="1" t="s">
        <v>88</v>
      </c>
      <c r="B243" t="s">
        <v>5</v>
      </c>
      <c r="C243" t="s">
        <v>7</v>
      </c>
      <c r="D243">
        <v>2177600</v>
      </c>
    </row>
    <row r="244" spans="1:4" x14ac:dyDescent="0.25">
      <c r="A244" s="1" t="s">
        <v>88</v>
      </c>
      <c r="B244" t="s">
        <v>5</v>
      </c>
      <c r="C244" t="s">
        <v>6</v>
      </c>
      <c r="D244">
        <v>273700</v>
      </c>
    </row>
    <row r="245" spans="1:4" x14ac:dyDescent="0.25">
      <c r="A245" s="1" t="s">
        <v>88</v>
      </c>
      <c r="B245" t="s">
        <v>18</v>
      </c>
      <c r="C245" t="s">
        <v>7</v>
      </c>
      <c r="D245">
        <v>1354500</v>
      </c>
    </row>
    <row r="246" spans="1:4" x14ac:dyDescent="0.25">
      <c r="A246" s="1" t="s">
        <v>88</v>
      </c>
      <c r="B246" t="s">
        <v>18</v>
      </c>
      <c r="C246" t="s">
        <v>6</v>
      </c>
      <c r="D246">
        <v>3513900</v>
      </c>
    </row>
    <row r="247" spans="1:4" x14ac:dyDescent="0.25">
      <c r="A247" s="1" t="s">
        <v>89</v>
      </c>
      <c r="B247" t="s">
        <v>5</v>
      </c>
      <c r="C247" t="s">
        <v>7</v>
      </c>
      <c r="D247">
        <v>2123400</v>
      </c>
    </row>
    <row r="248" spans="1:4" x14ac:dyDescent="0.25">
      <c r="A248" s="1" t="s">
        <v>89</v>
      </c>
      <c r="B248" t="s">
        <v>5</v>
      </c>
      <c r="C248" t="s">
        <v>6</v>
      </c>
      <c r="D248">
        <v>265200</v>
      </c>
    </row>
    <row r="249" spans="1:4" x14ac:dyDescent="0.25">
      <c r="A249" s="1" t="s">
        <v>89</v>
      </c>
      <c r="B249" t="s">
        <v>18</v>
      </c>
      <c r="C249" t="s">
        <v>7</v>
      </c>
      <c r="D249">
        <v>1438800</v>
      </c>
    </row>
    <row r="250" spans="1:4" x14ac:dyDescent="0.25">
      <c r="A250" s="1" t="s">
        <v>89</v>
      </c>
      <c r="B250" t="s">
        <v>18</v>
      </c>
      <c r="C250" t="s">
        <v>6</v>
      </c>
      <c r="D250">
        <v>3557200</v>
      </c>
    </row>
    <row r="251" spans="1:4" x14ac:dyDescent="0.25">
      <c r="A251" s="1" t="s">
        <v>90</v>
      </c>
      <c r="B251" t="s">
        <v>5</v>
      </c>
      <c r="C251" t="s">
        <v>7</v>
      </c>
      <c r="D251">
        <v>2069000</v>
      </c>
    </row>
    <row r="252" spans="1:4" x14ac:dyDescent="0.25">
      <c r="A252" s="1" t="s">
        <v>90</v>
      </c>
      <c r="B252" t="s">
        <v>5</v>
      </c>
      <c r="C252" t="s">
        <v>6</v>
      </c>
      <c r="D252">
        <v>257400</v>
      </c>
    </row>
    <row r="253" spans="1:4" x14ac:dyDescent="0.25">
      <c r="A253" s="1" t="s">
        <v>90</v>
      </c>
      <c r="B253" t="s">
        <v>18</v>
      </c>
      <c r="C253" t="s">
        <v>7</v>
      </c>
      <c r="D253">
        <v>1499500</v>
      </c>
    </row>
    <row r="254" spans="1:4" x14ac:dyDescent="0.25">
      <c r="A254" s="1" t="s">
        <v>90</v>
      </c>
      <c r="B254" t="s">
        <v>18</v>
      </c>
      <c r="C254" t="s">
        <v>6</v>
      </c>
      <c r="D254">
        <v>3591400</v>
      </c>
    </row>
    <row r="255" spans="1:4" x14ac:dyDescent="0.25">
      <c r="A255" s="1" t="s">
        <v>91</v>
      </c>
      <c r="B255" t="s">
        <v>5</v>
      </c>
      <c r="C255" t="s">
        <v>7</v>
      </c>
      <c r="D255">
        <v>2031000</v>
      </c>
    </row>
    <row r="256" spans="1:4" x14ac:dyDescent="0.25">
      <c r="A256" s="1" t="s">
        <v>91</v>
      </c>
      <c r="B256" t="s">
        <v>5</v>
      </c>
      <c r="C256" t="s">
        <v>6</v>
      </c>
      <c r="D256">
        <v>249800</v>
      </c>
    </row>
    <row r="257" spans="1:4" x14ac:dyDescent="0.25">
      <c r="A257" s="1" t="s">
        <v>91</v>
      </c>
      <c r="B257" t="s">
        <v>18</v>
      </c>
      <c r="C257" t="s">
        <v>7</v>
      </c>
      <c r="D257">
        <v>1559400</v>
      </c>
    </row>
    <row r="258" spans="1:4" x14ac:dyDescent="0.25">
      <c r="A258" s="1" t="s">
        <v>91</v>
      </c>
      <c r="B258" t="s">
        <v>18</v>
      </c>
      <c r="C258" t="s">
        <v>6</v>
      </c>
      <c r="D258">
        <v>3627500</v>
      </c>
    </row>
    <row r="259" spans="1:4" x14ac:dyDescent="0.25">
      <c r="A259" s="1" t="s">
        <v>92</v>
      </c>
      <c r="B259" t="s">
        <v>5</v>
      </c>
      <c r="C259" t="s">
        <v>7</v>
      </c>
      <c r="D259">
        <v>1998800</v>
      </c>
    </row>
    <row r="260" spans="1:4" x14ac:dyDescent="0.25">
      <c r="A260" s="1" t="s">
        <v>92</v>
      </c>
      <c r="B260" t="s">
        <v>5</v>
      </c>
      <c r="C260" t="s">
        <v>6</v>
      </c>
      <c r="D260">
        <v>242300</v>
      </c>
    </row>
    <row r="261" spans="1:4" x14ac:dyDescent="0.25">
      <c r="A261" s="1" t="s">
        <v>92</v>
      </c>
      <c r="B261" t="s">
        <v>18</v>
      </c>
      <c r="C261" t="s">
        <v>7</v>
      </c>
      <c r="D261">
        <v>1626200</v>
      </c>
    </row>
    <row r="262" spans="1:4" x14ac:dyDescent="0.25">
      <c r="A262" s="1" t="s">
        <v>92</v>
      </c>
      <c r="B262" t="s">
        <v>18</v>
      </c>
      <c r="C262" t="s">
        <v>6</v>
      </c>
      <c r="D262">
        <v>3669700</v>
      </c>
    </row>
    <row r="263" spans="1:4" x14ac:dyDescent="0.25">
      <c r="A263" s="1" t="s">
        <v>93</v>
      </c>
      <c r="B263" t="s">
        <v>5</v>
      </c>
      <c r="C263" t="s">
        <v>7</v>
      </c>
      <c r="D263">
        <v>1967400</v>
      </c>
    </row>
    <row r="264" spans="1:4" x14ac:dyDescent="0.25">
      <c r="A264" s="1" t="s">
        <v>93</v>
      </c>
      <c r="B264" t="s">
        <v>5</v>
      </c>
      <c r="C264" t="s">
        <v>6</v>
      </c>
      <c r="D264">
        <v>235500</v>
      </c>
    </row>
    <row r="265" spans="1:4" x14ac:dyDescent="0.25">
      <c r="A265" s="1" t="s">
        <v>93</v>
      </c>
      <c r="B265" t="s">
        <v>18</v>
      </c>
      <c r="C265" t="s">
        <v>7</v>
      </c>
      <c r="D265">
        <v>1688800</v>
      </c>
    </row>
    <row r="266" spans="1:4" x14ac:dyDescent="0.25">
      <c r="A266" s="1" t="s">
        <v>93</v>
      </c>
      <c r="B266" t="s">
        <v>18</v>
      </c>
      <c r="C266" t="s">
        <v>6</v>
      </c>
      <c r="D266">
        <v>3697900</v>
      </c>
    </row>
    <row r="267" spans="1:4" x14ac:dyDescent="0.25">
      <c r="A267" s="1" t="s">
        <v>94</v>
      </c>
      <c r="B267" t="s">
        <v>5</v>
      </c>
      <c r="C267" t="s">
        <v>7</v>
      </c>
      <c r="D267">
        <v>1928900</v>
      </c>
    </row>
    <row r="268" spans="1:4" x14ac:dyDescent="0.25">
      <c r="A268" s="1" t="s">
        <v>94</v>
      </c>
      <c r="B268" t="s">
        <v>5</v>
      </c>
      <c r="C268" t="s">
        <v>6</v>
      </c>
      <c r="D268">
        <v>233100</v>
      </c>
    </row>
    <row r="269" spans="1:4" x14ac:dyDescent="0.25">
      <c r="A269" s="1" t="s">
        <v>94</v>
      </c>
      <c r="B269" t="s">
        <v>18</v>
      </c>
      <c r="C269" t="s">
        <v>7</v>
      </c>
      <c r="D269">
        <v>1745500</v>
      </c>
    </row>
    <row r="270" spans="1:4" x14ac:dyDescent="0.25">
      <c r="A270" s="1" t="s">
        <v>94</v>
      </c>
      <c r="B270" t="s">
        <v>18</v>
      </c>
      <c r="C270" t="s">
        <v>6</v>
      </c>
      <c r="D270">
        <v>3719300</v>
      </c>
    </row>
    <row r="271" spans="1:4" x14ac:dyDescent="0.25">
      <c r="A271" s="1" t="s">
        <v>95</v>
      </c>
      <c r="B271" t="s">
        <v>5</v>
      </c>
      <c r="C271" t="s">
        <v>7</v>
      </c>
      <c r="D271">
        <v>1891800</v>
      </c>
    </row>
    <row r="272" spans="1:4" x14ac:dyDescent="0.25">
      <c r="A272" s="1" t="s">
        <v>95</v>
      </c>
      <c r="B272" t="s">
        <v>5</v>
      </c>
      <c r="C272" t="s">
        <v>6</v>
      </c>
      <c r="D272">
        <v>226600</v>
      </c>
    </row>
    <row r="273" spans="1:4" x14ac:dyDescent="0.25">
      <c r="A273" s="1" t="s">
        <v>95</v>
      </c>
      <c r="B273" t="s">
        <v>18</v>
      </c>
      <c r="C273" t="s">
        <v>7</v>
      </c>
      <c r="D273">
        <v>1807800</v>
      </c>
    </row>
    <row r="274" spans="1:4" x14ac:dyDescent="0.25">
      <c r="A274" s="1" t="s">
        <v>95</v>
      </c>
      <c r="B274" t="s">
        <v>18</v>
      </c>
      <c r="C274" t="s">
        <v>6</v>
      </c>
      <c r="D274">
        <v>3741300</v>
      </c>
    </row>
    <row r="275" spans="1:4" x14ac:dyDescent="0.25">
      <c r="A275" s="1" t="s">
        <v>96</v>
      </c>
      <c r="B275" t="s">
        <v>5</v>
      </c>
      <c r="C275" t="s">
        <v>7</v>
      </c>
      <c r="D275">
        <v>1857000</v>
      </c>
    </row>
    <row r="276" spans="1:4" x14ac:dyDescent="0.25">
      <c r="A276" s="1" t="s">
        <v>96</v>
      </c>
      <c r="B276" t="s">
        <v>5</v>
      </c>
      <c r="C276" t="s">
        <v>6</v>
      </c>
      <c r="D276">
        <v>218400</v>
      </c>
    </row>
    <row r="277" spans="1:4" x14ac:dyDescent="0.25">
      <c r="A277" s="1" t="s">
        <v>96</v>
      </c>
      <c r="B277" t="s">
        <v>18</v>
      </c>
      <c r="C277" t="s">
        <v>7</v>
      </c>
      <c r="D277">
        <v>1859000</v>
      </c>
    </row>
    <row r="278" spans="1:4" x14ac:dyDescent="0.25">
      <c r="A278" s="1" t="s">
        <v>96</v>
      </c>
      <c r="B278" t="s">
        <v>18</v>
      </c>
      <c r="C278" t="s">
        <v>6</v>
      </c>
      <c r="D278">
        <v>3763400</v>
      </c>
    </row>
    <row r="279" spans="1:4" x14ac:dyDescent="0.25">
      <c r="A279" s="1" t="s">
        <v>97</v>
      </c>
      <c r="B279" t="s">
        <v>5</v>
      </c>
      <c r="C279" t="s">
        <v>7</v>
      </c>
      <c r="D279">
        <v>1822000</v>
      </c>
    </row>
    <row r="280" spans="1:4" x14ac:dyDescent="0.25">
      <c r="A280" s="1" t="s">
        <v>97</v>
      </c>
      <c r="B280" t="s">
        <v>5</v>
      </c>
      <c r="C280" t="s">
        <v>6</v>
      </c>
      <c r="D280">
        <v>211200</v>
      </c>
    </row>
    <row r="281" spans="1:4" x14ac:dyDescent="0.25">
      <c r="A281" s="1" t="s">
        <v>97</v>
      </c>
      <c r="B281" t="s">
        <v>18</v>
      </c>
      <c r="C281" t="s">
        <v>7</v>
      </c>
      <c r="D281">
        <v>1888400</v>
      </c>
    </row>
    <row r="282" spans="1:4" x14ac:dyDescent="0.25">
      <c r="A282" s="1" t="s">
        <v>97</v>
      </c>
      <c r="B282" t="s">
        <v>18</v>
      </c>
      <c r="C282" t="s">
        <v>6</v>
      </c>
      <c r="D282">
        <v>3796400</v>
      </c>
    </row>
    <row r="283" spans="1:4" x14ac:dyDescent="0.25">
      <c r="A283" s="1" t="s">
        <v>98</v>
      </c>
      <c r="B283" t="s">
        <v>5</v>
      </c>
      <c r="C283" t="s">
        <v>7</v>
      </c>
      <c r="D283">
        <v>1795300</v>
      </c>
    </row>
    <row r="284" spans="1:4" x14ac:dyDescent="0.25">
      <c r="A284" s="1" t="s">
        <v>98</v>
      </c>
      <c r="B284" t="s">
        <v>5</v>
      </c>
      <c r="C284" t="s">
        <v>6</v>
      </c>
      <c r="D284">
        <v>204500</v>
      </c>
    </row>
    <row r="285" spans="1:4" x14ac:dyDescent="0.25">
      <c r="A285" s="1" t="s">
        <v>98</v>
      </c>
      <c r="B285" t="s">
        <v>18</v>
      </c>
      <c r="C285" t="s">
        <v>7</v>
      </c>
      <c r="D285">
        <v>1930100</v>
      </c>
    </row>
    <row r="286" spans="1:4" x14ac:dyDescent="0.25">
      <c r="A286" s="1" t="s">
        <v>98</v>
      </c>
      <c r="B286" t="s">
        <v>18</v>
      </c>
      <c r="C286" t="s">
        <v>6</v>
      </c>
      <c r="D286">
        <v>3825300</v>
      </c>
    </row>
    <row r="287" spans="1:4" x14ac:dyDescent="0.25">
      <c r="A287" s="1" t="s">
        <v>99</v>
      </c>
      <c r="B287" t="s">
        <v>5</v>
      </c>
      <c r="C287" t="s">
        <v>7</v>
      </c>
      <c r="D287">
        <v>1764500</v>
      </c>
    </row>
    <row r="288" spans="1:4" x14ac:dyDescent="0.25">
      <c r="A288" s="1" t="s">
        <v>99</v>
      </c>
      <c r="B288" t="s">
        <v>5</v>
      </c>
      <c r="C288" t="s">
        <v>6</v>
      </c>
      <c r="D288">
        <v>198700</v>
      </c>
    </row>
    <row r="289" spans="1:4" x14ac:dyDescent="0.25">
      <c r="A289" s="1" t="s">
        <v>99</v>
      </c>
      <c r="B289" t="s">
        <v>18</v>
      </c>
      <c r="C289" t="s">
        <v>7</v>
      </c>
      <c r="D289">
        <v>1945200</v>
      </c>
    </row>
    <row r="290" spans="1:4" x14ac:dyDescent="0.25">
      <c r="A290" s="1" t="s">
        <v>99</v>
      </c>
      <c r="B290" t="s">
        <v>18</v>
      </c>
      <c r="C290" t="s">
        <v>6</v>
      </c>
      <c r="D290">
        <v>3842300</v>
      </c>
    </row>
    <row r="291" spans="1:4" x14ac:dyDescent="0.25">
      <c r="A291" s="1" t="s">
        <v>100</v>
      </c>
      <c r="B291" t="s">
        <v>5</v>
      </c>
      <c r="C291" t="s">
        <v>7</v>
      </c>
      <c r="D291">
        <v>1726700</v>
      </c>
    </row>
    <row r="292" spans="1:4" x14ac:dyDescent="0.25">
      <c r="A292" s="1" t="s">
        <v>100</v>
      </c>
      <c r="B292" t="s">
        <v>5</v>
      </c>
      <c r="C292" t="s">
        <v>6</v>
      </c>
      <c r="D292">
        <v>193700</v>
      </c>
    </row>
    <row r="293" spans="1:4" x14ac:dyDescent="0.25">
      <c r="A293" s="1" t="s">
        <v>100</v>
      </c>
      <c r="B293" t="s">
        <v>18</v>
      </c>
      <c r="C293" t="s">
        <v>7</v>
      </c>
      <c r="D293">
        <v>1947700</v>
      </c>
    </row>
    <row r="294" spans="1:4" x14ac:dyDescent="0.25">
      <c r="A294" s="1" t="s">
        <v>100</v>
      </c>
      <c r="B294" t="s">
        <v>18</v>
      </c>
      <c r="C294" t="s">
        <v>6</v>
      </c>
      <c r="D294">
        <v>3852400</v>
      </c>
    </row>
    <row r="295" spans="1:4" x14ac:dyDescent="0.25">
      <c r="A295" s="1" t="s">
        <v>101</v>
      </c>
      <c r="B295" t="s">
        <v>5</v>
      </c>
      <c r="C295" t="s">
        <v>7</v>
      </c>
      <c r="D295">
        <v>1687300</v>
      </c>
    </row>
    <row r="296" spans="1:4" x14ac:dyDescent="0.25">
      <c r="A296" s="1" t="s">
        <v>101</v>
      </c>
      <c r="B296" t="s">
        <v>5</v>
      </c>
      <c r="C296" t="s">
        <v>6</v>
      </c>
      <c r="D296">
        <v>189600</v>
      </c>
    </row>
    <row r="297" spans="1:4" x14ac:dyDescent="0.25">
      <c r="A297" s="1" t="s">
        <v>101</v>
      </c>
      <c r="B297" t="s">
        <v>18</v>
      </c>
      <c r="C297" t="s">
        <v>7</v>
      </c>
      <c r="D297">
        <v>2039600</v>
      </c>
    </row>
    <row r="298" spans="1:4" x14ac:dyDescent="0.25">
      <c r="A298" s="1" t="s">
        <v>101</v>
      </c>
      <c r="B298" t="s">
        <v>18</v>
      </c>
      <c r="C298" t="s">
        <v>6</v>
      </c>
      <c r="D298">
        <v>3877800</v>
      </c>
    </row>
    <row r="299" spans="1:4" x14ac:dyDescent="0.25">
      <c r="A299" s="1" t="s">
        <v>102</v>
      </c>
      <c r="B299" t="s">
        <v>5</v>
      </c>
      <c r="C299" t="s">
        <v>7</v>
      </c>
      <c r="D299">
        <v>1656400</v>
      </c>
    </row>
    <row r="300" spans="1:4" x14ac:dyDescent="0.25">
      <c r="A300" s="1" t="s">
        <v>102</v>
      </c>
      <c r="B300" t="s">
        <v>5</v>
      </c>
      <c r="C300" t="s">
        <v>6</v>
      </c>
      <c r="D300">
        <v>186800</v>
      </c>
    </row>
    <row r="301" spans="1:4" x14ac:dyDescent="0.25">
      <c r="A301" s="1" t="s">
        <v>102</v>
      </c>
      <c r="B301" t="s">
        <v>18</v>
      </c>
      <c r="C301" t="s">
        <v>7</v>
      </c>
      <c r="D301">
        <v>2063700</v>
      </c>
    </row>
    <row r="302" spans="1:4" x14ac:dyDescent="0.25">
      <c r="A302" s="1" t="s">
        <v>102</v>
      </c>
      <c r="B302" t="s">
        <v>18</v>
      </c>
      <c r="C302" t="s">
        <v>6</v>
      </c>
      <c r="D302">
        <v>3899900</v>
      </c>
    </row>
    <row r="303" spans="1:4" x14ac:dyDescent="0.25">
      <c r="A303" s="1" t="s">
        <v>103</v>
      </c>
      <c r="B303" t="s">
        <v>5</v>
      </c>
      <c r="C303" t="s">
        <v>7</v>
      </c>
      <c r="D303">
        <v>1630600</v>
      </c>
    </row>
    <row r="304" spans="1:4" x14ac:dyDescent="0.25">
      <c r="A304" s="1" t="s">
        <v>103</v>
      </c>
      <c r="B304" t="s">
        <v>5</v>
      </c>
      <c r="C304" t="s">
        <v>6</v>
      </c>
      <c r="D304">
        <v>181700</v>
      </c>
    </row>
    <row r="305" spans="1:4" x14ac:dyDescent="0.25">
      <c r="A305" s="1" t="s">
        <v>103</v>
      </c>
      <c r="B305" t="s">
        <v>18</v>
      </c>
      <c r="C305" t="s">
        <v>7</v>
      </c>
      <c r="D305">
        <v>2082000</v>
      </c>
    </row>
    <row r="306" spans="1:4" x14ac:dyDescent="0.25">
      <c r="A306" s="1" t="s">
        <v>103</v>
      </c>
      <c r="B306" t="s">
        <v>18</v>
      </c>
      <c r="C306" t="s">
        <v>6</v>
      </c>
      <c r="D306">
        <v>3913900</v>
      </c>
    </row>
    <row r="307" spans="1:4" x14ac:dyDescent="0.25">
      <c r="A307" s="1" t="s">
        <v>104</v>
      </c>
      <c r="B307" t="s">
        <v>5</v>
      </c>
      <c r="C307" t="s">
        <v>7</v>
      </c>
      <c r="D307">
        <v>1603700</v>
      </c>
    </row>
    <row r="308" spans="1:4" x14ac:dyDescent="0.25">
      <c r="A308" s="1" t="s">
        <v>104</v>
      </c>
      <c r="B308" t="s">
        <v>5</v>
      </c>
      <c r="C308" t="s">
        <v>6</v>
      </c>
      <c r="D308">
        <v>176700</v>
      </c>
    </row>
    <row r="309" spans="1:4" x14ac:dyDescent="0.25">
      <c r="A309" s="1" t="s">
        <v>104</v>
      </c>
      <c r="B309" t="s">
        <v>18</v>
      </c>
      <c r="C309" t="s">
        <v>7</v>
      </c>
      <c r="D309">
        <v>2117200</v>
      </c>
    </row>
    <row r="310" spans="1:4" x14ac:dyDescent="0.25">
      <c r="A310" s="1" t="s">
        <v>104</v>
      </c>
      <c r="B310" t="s">
        <v>18</v>
      </c>
      <c r="C310" t="s">
        <v>6</v>
      </c>
      <c r="D310">
        <v>3948500</v>
      </c>
    </row>
    <row r="311" spans="1:4" x14ac:dyDescent="0.25">
      <c r="A311" s="1" t="s">
        <v>105</v>
      </c>
      <c r="B311" t="s">
        <v>5</v>
      </c>
      <c r="C311" t="s">
        <v>7</v>
      </c>
      <c r="D311">
        <v>1561600</v>
      </c>
    </row>
    <row r="312" spans="1:4" x14ac:dyDescent="0.25">
      <c r="A312" s="1" t="s">
        <v>105</v>
      </c>
      <c r="B312" t="s">
        <v>5</v>
      </c>
      <c r="C312" t="s">
        <v>6</v>
      </c>
      <c r="D312">
        <v>171800</v>
      </c>
    </row>
    <row r="313" spans="1:4" x14ac:dyDescent="0.25">
      <c r="A313" s="1" t="s">
        <v>105</v>
      </c>
      <c r="B313" t="s">
        <v>18</v>
      </c>
      <c r="C313" t="s">
        <v>7</v>
      </c>
      <c r="D313">
        <v>2173300</v>
      </c>
    </row>
    <row r="314" spans="1:4" x14ac:dyDescent="0.25">
      <c r="A314" s="1" t="s">
        <v>105</v>
      </c>
      <c r="B314" t="s">
        <v>18</v>
      </c>
      <c r="C314" t="s">
        <v>6</v>
      </c>
      <c r="D314">
        <v>3973300</v>
      </c>
    </row>
    <row r="315" spans="1:4" x14ac:dyDescent="0.25">
      <c r="A315" s="1" t="s">
        <v>106</v>
      </c>
      <c r="B315" t="s">
        <v>5</v>
      </c>
      <c r="C315" t="s">
        <v>7</v>
      </c>
      <c r="D315">
        <v>1547300</v>
      </c>
    </row>
    <row r="316" spans="1:4" x14ac:dyDescent="0.25">
      <c r="A316" s="1" t="s">
        <v>106</v>
      </c>
      <c r="B316" t="s">
        <v>5</v>
      </c>
      <c r="C316" t="s">
        <v>6</v>
      </c>
      <c r="D316">
        <v>168100</v>
      </c>
    </row>
    <row r="317" spans="1:4" x14ac:dyDescent="0.25">
      <c r="A317" s="1" t="s">
        <v>106</v>
      </c>
      <c r="B317" t="s">
        <v>18</v>
      </c>
      <c r="C317" t="s">
        <v>7</v>
      </c>
      <c r="D317">
        <v>2194900</v>
      </c>
    </row>
    <row r="318" spans="1:4" x14ac:dyDescent="0.25">
      <c r="A318" s="1" t="s">
        <v>106</v>
      </c>
      <c r="B318" t="s">
        <v>18</v>
      </c>
      <c r="C318" t="s">
        <v>6</v>
      </c>
      <c r="D318">
        <v>3987400</v>
      </c>
    </row>
    <row r="319" spans="1:4" x14ac:dyDescent="0.25">
      <c r="A319" s="1" t="s">
        <v>107</v>
      </c>
      <c r="B319" t="s">
        <v>5</v>
      </c>
      <c r="C319" t="s">
        <v>7</v>
      </c>
      <c r="D319">
        <v>1517900</v>
      </c>
    </row>
    <row r="320" spans="1:4" x14ac:dyDescent="0.25">
      <c r="A320" s="1" t="s">
        <v>107</v>
      </c>
      <c r="B320" t="s">
        <v>5</v>
      </c>
      <c r="C320" t="s">
        <v>6</v>
      </c>
      <c r="D320">
        <v>165000</v>
      </c>
    </row>
    <row r="321" spans="1:4" x14ac:dyDescent="0.25">
      <c r="A321" s="1" t="s">
        <v>107</v>
      </c>
      <c r="B321" t="s">
        <v>18</v>
      </c>
      <c r="C321" t="s">
        <v>7</v>
      </c>
      <c r="D321">
        <v>2232800</v>
      </c>
    </row>
    <row r="322" spans="1:4" x14ac:dyDescent="0.25">
      <c r="A322" s="1" t="s">
        <v>107</v>
      </c>
      <c r="B322" t="s">
        <v>18</v>
      </c>
      <c r="C322" t="s">
        <v>6</v>
      </c>
      <c r="D322">
        <v>3987900</v>
      </c>
    </row>
    <row r="323" spans="1:4" x14ac:dyDescent="0.25">
      <c r="A323" s="1" t="s">
        <v>108</v>
      </c>
      <c r="B323" t="s">
        <v>5</v>
      </c>
      <c r="C323" t="s">
        <v>7</v>
      </c>
      <c r="D323">
        <v>1485400</v>
      </c>
    </row>
    <row r="324" spans="1:4" x14ac:dyDescent="0.25">
      <c r="A324" s="1" t="s">
        <v>108</v>
      </c>
      <c r="B324" t="s">
        <v>5</v>
      </c>
      <c r="C324" t="s">
        <v>6</v>
      </c>
      <c r="D324">
        <v>161500</v>
      </c>
    </row>
    <row r="325" spans="1:4" x14ac:dyDescent="0.25">
      <c r="A325" s="1" t="s">
        <v>108</v>
      </c>
      <c r="B325" t="s">
        <v>18</v>
      </c>
      <c r="C325" t="s">
        <v>7</v>
      </c>
      <c r="D325">
        <v>2268200</v>
      </c>
    </row>
    <row r="326" spans="1:4" x14ac:dyDescent="0.25">
      <c r="A326" s="1" t="s">
        <v>108</v>
      </c>
      <c r="B326" t="s">
        <v>18</v>
      </c>
      <c r="C326" t="s">
        <v>6</v>
      </c>
      <c r="D326">
        <v>4042000</v>
      </c>
    </row>
    <row r="327" spans="1:4" x14ac:dyDescent="0.25">
      <c r="A327" s="1" t="s">
        <v>109</v>
      </c>
      <c r="B327" t="s">
        <v>5</v>
      </c>
      <c r="C327" t="s">
        <v>7</v>
      </c>
      <c r="D327">
        <v>1453500</v>
      </c>
    </row>
    <row r="328" spans="1:4" x14ac:dyDescent="0.25">
      <c r="A328" s="1" t="s">
        <v>109</v>
      </c>
      <c r="B328" t="s">
        <v>5</v>
      </c>
      <c r="C328" t="s">
        <v>6</v>
      </c>
      <c r="D328">
        <v>157500</v>
      </c>
    </row>
    <row r="329" spans="1:4" x14ac:dyDescent="0.25">
      <c r="A329" s="1" t="s">
        <v>109</v>
      </c>
      <c r="B329" t="s">
        <v>18</v>
      </c>
      <c r="C329" t="s">
        <v>7</v>
      </c>
      <c r="D329">
        <v>2310700</v>
      </c>
    </row>
    <row r="330" spans="1:4" x14ac:dyDescent="0.25">
      <c r="A330" s="1" t="s">
        <v>109</v>
      </c>
      <c r="B330" t="s">
        <v>18</v>
      </c>
      <c r="C330" t="s">
        <v>6</v>
      </c>
      <c r="D330">
        <v>4073700</v>
      </c>
    </row>
    <row r="331" spans="1:4" x14ac:dyDescent="0.25">
      <c r="A331" s="1" t="s">
        <v>110</v>
      </c>
      <c r="B331" t="s">
        <v>5</v>
      </c>
      <c r="C331" t="s">
        <v>7</v>
      </c>
      <c r="D331">
        <v>1429700</v>
      </c>
    </row>
    <row r="332" spans="1:4" x14ac:dyDescent="0.25">
      <c r="A332" s="1" t="s">
        <v>110</v>
      </c>
      <c r="B332" t="s">
        <v>5</v>
      </c>
      <c r="C332" t="s">
        <v>6</v>
      </c>
      <c r="D332">
        <v>152700</v>
      </c>
    </row>
    <row r="333" spans="1:4" x14ac:dyDescent="0.25">
      <c r="A333" s="1" t="s">
        <v>110</v>
      </c>
      <c r="B333" t="s">
        <v>18</v>
      </c>
      <c r="C333" t="s">
        <v>7</v>
      </c>
      <c r="D333">
        <v>2367400</v>
      </c>
    </row>
    <row r="334" spans="1:4" x14ac:dyDescent="0.25">
      <c r="A334" s="1" t="s">
        <v>110</v>
      </c>
      <c r="B334" t="s">
        <v>18</v>
      </c>
      <c r="C334" t="s">
        <v>6</v>
      </c>
      <c r="D334">
        <v>4113200</v>
      </c>
    </row>
    <row r="335" spans="1:4" x14ac:dyDescent="0.25">
      <c r="A335" s="1" t="s">
        <v>111</v>
      </c>
      <c r="B335" t="s">
        <v>5</v>
      </c>
      <c r="C335" t="s">
        <v>7</v>
      </c>
      <c r="D335">
        <v>1396500</v>
      </c>
    </row>
    <row r="336" spans="1:4" x14ac:dyDescent="0.25">
      <c r="A336" s="1" t="s">
        <v>111</v>
      </c>
      <c r="B336" t="s">
        <v>5</v>
      </c>
      <c r="C336" t="s">
        <v>6</v>
      </c>
      <c r="D336">
        <v>149400</v>
      </c>
    </row>
    <row r="337" spans="1:4" x14ac:dyDescent="0.25">
      <c r="A337" s="1" t="s">
        <v>111</v>
      </c>
      <c r="B337" t="s">
        <v>18</v>
      </c>
      <c r="C337" t="s">
        <v>7</v>
      </c>
      <c r="D337">
        <v>2428500</v>
      </c>
    </row>
    <row r="338" spans="1:4" x14ac:dyDescent="0.25">
      <c r="A338" s="1" t="s">
        <v>111</v>
      </c>
      <c r="B338" t="s">
        <v>18</v>
      </c>
      <c r="C338" t="s">
        <v>6</v>
      </c>
      <c r="D338">
        <v>4138400</v>
      </c>
    </row>
    <row r="339" spans="1:4" x14ac:dyDescent="0.25">
      <c r="A339" s="1" t="s">
        <v>112</v>
      </c>
      <c r="B339" t="s">
        <v>5</v>
      </c>
      <c r="C339" t="s">
        <v>7</v>
      </c>
      <c r="D339">
        <v>1362500</v>
      </c>
    </row>
    <row r="340" spans="1:4" x14ac:dyDescent="0.25">
      <c r="A340" s="1" t="s">
        <v>112</v>
      </c>
      <c r="B340" t="s">
        <v>5</v>
      </c>
      <c r="C340" t="s">
        <v>6</v>
      </c>
      <c r="D340">
        <v>147600</v>
      </c>
    </row>
    <row r="341" spans="1:4" x14ac:dyDescent="0.25">
      <c r="A341" s="1" t="s">
        <v>112</v>
      </c>
      <c r="B341" t="s">
        <v>18</v>
      </c>
      <c r="C341" t="s">
        <v>7</v>
      </c>
      <c r="D341">
        <v>2472000</v>
      </c>
    </row>
    <row r="342" spans="1:4" x14ac:dyDescent="0.25">
      <c r="A342" s="1" t="s">
        <v>112</v>
      </c>
      <c r="B342" t="s">
        <v>18</v>
      </c>
      <c r="C342" t="s">
        <v>6</v>
      </c>
      <c r="D342">
        <v>4148000</v>
      </c>
    </row>
    <row r="343" spans="1:4" x14ac:dyDescent="0.25">
      <c r="A343" s="1" t="s">
        <v>113</v>
      </c>
      <c r="B343" t="s">
        <v>5</v>
      </c>
      <c r="C343" t="s">
        <v>7</v>
      </c>
      <c r="D343">
        <v>1320400</v>
      </c>
    </row>
    <row r="344" spans="1:4" x14ac:dyDescent="0.25">
      <c r="A344" s="1" t="s">
        <v>113</v>
      </c>
      <c r="B344" t="s">
        <v>5</v>
      </c>
      <c r="C344" t="s">
        <v>6</v>
      </c>
      <c r="D344">
        <v>145100</v>
      </c>
    </row>
    <row r="345" spans="1:4" x14ac:dyDescent="0.25">
      <c r="A345" s="1" t="s">
        <v>113</v>
      </c>
      <c r="B345" t="s">
        <v>18</v>
      </c>
      <c r="C345" t="s">
        <v>7</v>
      </c>
      <c r="D345">
        <v>2432400</v>
      </c>
    </row>
    <row r="346" spans="1:4" x14ac:dyDescent="0.25">
      <c r="A346" s="1" t="s">
        <v>113</v>
      </c>
      <c r="B346" t="s">
        <v>18</v>
      </c>
      <c r="C346" t="s">
        <v>6</v>
      </c>
      <c r="D346">
        <v>3288700</v>
      </c>
    </row>
    <row r="347" spans="1:4" x14ac:dyDescent="0.25">
      <c r="A347" s="1" t="s">
        <v>113</v>
      </c>
      <c r="B347" t="s">
        <v>114</v>
      </c>
      <c r="C347" t="s">
        <v>19</v>
      </c>
      <c r="D347">
        <v>881100</v>
      </c>
    </row>
    <row r="348" spans="1:4" x14ac:dyDescent="0.25">
      <c r="A348" s="1" t="s">
        <v>115</v>
      </c>
      <c r="B348" t="s">
        <v>5</v>
      </c>
      <c r="C348" t="s">
        <v>7</v>
      </c>
      <c r="D348">
        <v>1289300</v>
      </c>
    </row>
    <row r="349" spans="1:4" x14ac:dyDescent="0.25">
      <c r="A349" s="1" t="s">
        <v>115</v>
      </c>
      <c r="B349" t="s">
        <v>5</v>
      </c>
      <c r="C349" t="s">
        <v>6</v>
      </c>
      <c r="D349">
        <v>140400</v>
      </c>
    </row>
    <row r="350" spans="1:4" x14ac:dyDescent="0.25">
      <c r="A350" s="1" t="s">
        <v>115</v>
      </c>
      <c r="B350" t="s">
        <v>18</v>
      </c>
      <c r="C350" t="s">
        <v>7</v>
      </c>
      <c r="D350">
        <v>2499600</v>
      </c>
    </row>
    <row r="351" spans="1:4" x14ac:dyDescent="0.25">
      <c r="A351" s="1" t="s">
        <v>115</v>
      </c>
      <c r="B351" t="s">
        <v>18</v>
      </c>
      <c r="C351" t="s">
        <v>6</v>
      </c>
      <c r="D351">
        <v>3216200</v>
      </c>
    </row>
    <row r="352" spans="1:4" x14ac:dyDescent="0.25">
      <c r="A352" s="1" t="s">
        <v>115</v>
      </c>
      <c r="B352" t="s">
        <v>114</v>
      </c>
      <c r="C352" t="s">
        <v>19</v>
      </c>
      <c r="D352">
        <v>17000000</v>
      </c>
    </row>
    <row r="353" spans="1:4" x14ac:dyDescent="0.25">
      <c r="A353" s="1" t="s">
        <v>116</v>
      </c>
      <c r="B353" t="s">
        <v>5</v>
      </c>
      <c r="C353" t="s">
        <v>7</v>
      </c>
      <c r="D353">
        <v>1254000</v>
      </c>
    </row>
    <row r="354" spans="1:4" x14ac:dyDescent="0.25">
      <c r="A354" s="1" t="s">
        <v>116</v>
      </c>
      <c r="B354" t="s">
        <v>5</v>
      </c>
      <c r="C354" t="s">
        <v>6</v>
      </c>
      <c r="D354">
        <v>137200</v>
      </c>
    </row>
    <row r="355" spans="1:4" x14ac:dyDescent="0.25">
      <c r="A355" s="1" t="s">
        <v>116</v>
      </c>
      <c r="B355" t="s">
        <v>18</v>
      </c>
      <c r="C355" t="s">
        <v>7</v>
      </c>
      <c r="D355">
        <v>2548100</v>
      </c>
    </row>
    <row r="356" spans="1:4" x14ac:dyDescent="0.25">
      <c r="A356" s="1" t="s">
        <v>116</v>
      </c>
      <c r="B356" t="s">
        <v>18</v>
      </c>
      <c r="C356" t="s">
        <v>6</v>
      </c>
      <c r="D356">
        <v>3099600</v>
      </c>
    </row>
    <row r="357" spans="1:4" x14ac:dyDescent="0.25">
      <c r="A357" s="1" t="s">
        <v>116</v>
      </c>
      <c r="B357" t="s">
        <v>114</v>
      </c>
      <c r="C357" t="s">
        <v>19</v>
      </c>
      <c r="D357">
        <v>1105700</v>
      </c>
    </row>
    <row r="358" spans="1:4" x14ac:dyDescent="0.25">
      <c r="A358" s="1" t="s">
        <v>117</v>
      </c>
      <c r="B358" t="s">
        <v>5</v>
      </c>
      <c r="C358" t="s">
        <v>7</v>
      </c>
      <c r="D358">
        <v>1219400</v>
      </c>
    </row>
    <row r="359" spans="1:4" x14ac:dyDescent="0.25">
      <c r="A359" s="1" t="s">
        <v>117</v>
      </c>
      <c r="B359" t="s">
        <v>5</v>
      </c>
      <c r="C359" t="s">
        <v>6</v>
      </c>
      <c r="D359">
        <v>133300</v>
      </c>
    </row>
    <row r="360" spans="1:4" x14ac:dyDescent="0.25">
      <c r="A360" s="1" t="s">
        <v>117</v>
      </c>
      <c r="B360" t="s">
        <v>18</v>
      </c>
      <c r="C360" t="s">
        <v>7</v>
      </c>
      <c r="D360">
        <v>2606900</v>
      </c>
    </row>
    <row r="361" spans="1:4" x14ac:dyDescent="0.25">
      <c r="A361" s="1" t="s">
        <v>117</v>
      </c>
      <c r="B361" t="s">
        <v>18</v>
      </c>
      <c r="C361" t="s">
        <v>6</v>
      </c>
      <c r="D361">
        <v>3007800</v>
      </c>
    </row>
    <row r="362" spans="1:4" x14ac:dyDescent="0.25">
      <c r="A362" s="1" t="s">
        <v>117</v>
      </c>
      <c r="B362" t="s">
        <v>114</v>
      </c>
      <c r="C362" t="s">
        <v>19</v>
      </c>
      <c r="D362">
        <v>1228800</v>
      </c>
    </row>
    <row r="363" spans="1:4" x14ac:dyDescent="0.25">
      <c r="A363" s="1" t="s">
        <v>118</v>
      </c>
      <c r="B363" t="s">
        <v>5</v>
      </c>
      <c r="C363" t="s">
        <v>7</v>
      </c>
      <c r="D363">
        <v>1185000</v>
      </c>
    </row>
    <row r="364" spans="1:4" x14ac:dyDescent="0.25">
      <c r="A364" s="1" t="s">
        <v>118</v>
      </c>
      <c r="B364" t="s">
        <v>5</v>
      </c>
      <c r="C364" t="s">
        <v>6</v>
      </c>
      <c r="D364">
        <v>130400</v>
      </c>
    </row>
    <row r="365" spans="1:4" x14ac:dyDescent="0.25">
      <c r="A365" s="1" t="s">
        <v>118</v>
      </c>
      <c r="B365" t="s">
        <v>18</v>
      </c>
      <c r="C365" t="s">
        <v>7</v>
      </c>
      <c r="D365">
        <v>2677500</v>
      </c>
    </row>
    <row r="366" spans="1:4" x14ac:dyDescent="0.25">
      <c r="A366" s="1" t="s">
        <v>118</v>
      </c>
      <c r="B366" t="s">
        <v>18</v>
      </c>
      <c r="C366" t="s">
        <v>6</v>
      </c>
      <c r="D366">
        <v>2917200</v>
      </c>
    </row>
    <row r="367" spans="1:4" x14ac:dyDescent="0.25">
      <c r="A367" s="1" t="s">
        <v>118</v>
      </c>
      <c r="B367" t="s">
        <v>114</v>
      </c>
      <c r="C367" t="s">
        <v>19</v>
      </c>
      <c r="D367">
        <v>1348400</v>
      </c>
    </row>
    <row r="368" spans="1:4" x14ac:dyDescent="0.25">
      <c r="A368" s="1" t="s">
        <v>119</v>
      </c>
      <c r="B368" t="s">
        <v>5</v>
      </c>
      <c r="C368" t="s">
        <v>7</v>
      </c>
      <c r="D368">
        <v>1149000</v>
      </c>
    </row>
    <row r="369" spans="1:4" x14ac:dyDescent="0.25">
      <c r="A369" s="1" t="s">
        <v>119</v>
      </c>
      <c r="B369" t="s">
        <v>5</v>
      </c>
      <c r="C369" t="s">
        <v>6</v>
      </c>
      <c r="D369">
        <v>127900</v>
      </c>
    </row>
    <row r="370" spans="1:4" x14ac:dyDescent="0.25">
      <c r="A370" s="1" t="s">
        <v>119</v>
      </c>
      <c r="B370" t="s">
        <v>18</v>
      </c>
      <c r="C370" t="s">
        <v>7</v>
      </c>
      <c r="D370">
        <v>2734300</v>
      </c>
    </row>
    <row r="371" spans="1:4" x14ac:dyDescent="0.25">
      <c r="A371" s="1" t="s">
        <v>119</v>
      </c>
      <c r="B371" t="s">
        <v>18</v>
      </c>
      <c r="C371" t="s">
        <v>6</v>
      </c>
      <c r="D371">
        <v>2844800</v>
      </c>
    </row>
    <row r="372" spans="1:4" x14ac:dyDescent="0.25">
      <c r="A372" s="1" t="s">
        <v>119</v>
      </c>
      <c r="B372" t="s">
        <v>114</v>
      </c>
      <c r="C372" t="s">
        <v>19</v>
      </c>
      <c r="D372">
        <v>9000000</v>
      </c>
    </row>
    <row r="373" spans="1:4" x14ac:dyDescent="0.25">
      <c r="A373" s="1" t="s">
        <v>120</v>
      </c>
      <c r="B373" t="s">
        <v>5</v>
      </c>
      <c r="C373" t="s">
        <v>7</v>
      </c>
      <c r="D373">
        <v>1104900</v>
      </c>
    </row>
    <row r="374" spans="1:4" x14ac:dyDescent="0.25">
      <c r="A374" s="1" t="s">
        <v>120</v>
      </c>
      <c r="B374" t="s">
        <v>5</v>
      </c>
      <c r="C374" t="s">
        <v>6</v>
      </c>
      <c r="D374">
        <v>126800</v>
      </c>
    </row>
    <row r="375" spans="1:4" x14ac:dyDescent="0.25">
      <c r="A375" s="1" t="s">
        <v>120</v>
      </c>
      <c r="B375" t="s">
        <v>18</v>
      </c>
      <c r="C375" t="s">
        <v>7</v>
      </c>
      <c r="D375">
        <v>2780900</v>
      </c>
    </row>
    <row r="376" spans="1:4" x14ac:dyDescent="0.25">
      <c r="A376" s="1" t="s">
        <v>120</v>
      </c>
      <c r="B376" t="s">
        <v>18</v>
      </c>
      <c r="C376" t="s">
        <v>6</v>
      </c>
      <c r="D376">
        <v>2759000</v>
      </c>
    </row>
    <row r="377" spans="1:4" x14ac:dyDescent="0.25">
      <c r="A377" s="1" t="s">
        <v>120</v>
      </c>
      <c r="B377" t="s">
        <v>114</v>
      </c>
      <c r="C377" t="s">
        <v>19</v>
      </c>
      <c r="D377">
        <v>1572500</v>
      </c>
    </row>
    <row r="378" spans="1:4" x14ac:dyDescent="0.25">
      <c r="A378" s="1" t="s">
        <v>121</v>
      </c>
      <c r="B378" t="s">
        <v>5</v>
      </c>
      <c r="C378" t="s">
        <v>7</v>
      </c>
      <c r="D378">
        <v>1064700</v>
      </c>
    </row>
    <row r="379" spans="1:4" x14ac:dyDescent="0.25">
      <c r="A379" s="1" t="s">
        <v>121</v>
      </c>
      <c r="B379" t="s">
        <v>5</v>
      </c>
      <c r="C379" t="s">
        <v>6</v>
      </c>
      <c r="D379">
        <v>125800</v>
      </c>
    </row>
    <row r="380" spans="1:4" x14ac:dyDescent="0.25">
      <c r="A380" s="1" t="s">
        <v>121</v>
      </c>
      <c r="B380" t="s">
        <v>18</v>
      </c>
      <c r="C380" t="s">
        <v>7</v>
      </c>
      <c r="D380">
        <v>2808300</v>
      </c>
    </row>
    <row r="381" spans="1:4" x14ac:dyDescent="0.25">
      <c r="A381" s="1" t="s">
        <v>121</v>
      </c>
      <c r="B381" t="s">
        <v>18</v>
      </c>
      <c r="C381" t="s">
        <v>6</v>
      </c>
      <c r="D381">
        <v>2658300</v>
      </c>
    </row>
    <row r="382" spans="1:4" x14ac:dyDescent="0.25">
      <c r="A382" s="1" t="s">
        <v>121</v>
      </c>
      <c r="B382" t="s">
        <v>114</v>
      </c>
      <c r="C382" t="s">
        <v>19</v>
      </c>
      <c r="D382">
        <v>1687200</v>
      </c>
    </row>
    <row r="383" spans="1:4" x14ac:dyDescent="0.25">
      <c r="A383" s="1" t="s">
        <v>122</v>
      </c>
      <c r="B383" t="s">
        <v>5</v>
      </c>
      <c r="C383" t="s">
        <v>7</v>
      </c>
      <c r="D383">
        <v>1029900</v>
      </c>
    </row>
    <row r="384" spans="1:4" x14ac:dyDescent="0.25">
      <c r="A384" s="1" t="s">
        <v>122</v>
      </c>
      <c r="B384" t="s">
        <v>5</v>
      </c>
      <c r="C384" t="s">
        <v>6</v>
      </c>
      <c r="D384">
        <v>121600</v>
      </c>
    </row>
    <row r="385" spans="1:4" x14ac:dyDescent="0.25">
      <c r="A385" s="1" t="s">
        <v>122</v>
      </c>
      <c r="B385" t="s">
        <v>18</v>
      </c>
      <c r="C385" t="s">
        <v>7</v>
      </c>
      <c r="D385">
        <v>2830000</v>
      </c>
    </row>
    <row r="386" spans="1:4" x14ac:dyDescent="0.25">
      <c r="A386" s="1" t="s">
        <v>122</v>
      </c>
      <c r="B386" t="s">
        <v>18</v>
      </c>
      <c r="C386" t="s">
        <v>6</v>
      </c>
      <c r="D386">
        <v>2533300</v>
      </c>
    </row>
    <row r="387" spans="1:4" x14ac:dyDescent="0.25">
      <c r="A387" s="1" t="s">
        <v>122</v>
      </c>
      <c r="B387" t="s">
        <v>114</v>
      </c>
      <c r="C387" t="s">
        <v>19</v>
      </c>
      <c r="D387">
        <v>1875100</v>
      </c>
    </row>
    <row r="388" spans="1:4" x14ac:dyDescent="0.25">
      <c r="A388" s="1" t="s">
        <v>123</v>
      </c>
      <c r="B388" t="s">
        <v>5</v>
      </c>
      <c r="C388" t="s">
        <v>7</v>
      </c>
      <c r="D388">
        <v>993700</v>
      </c>
    </row>
    <row r="389" spans="1:4" x14ac:dyDescent="0.25">
      <c r="A389" s="1" t="s">
        <v>123</v>
      </c>
      <c r="B389" t="s">
        <v>5</v>
      </c>
      <c r="C389" t="s">
        <v>6</v>
      </c>
      <c r="D389">
        <v>117800</v>
      </c>
    </row>
    <row r="390" spans="1:4" x14ac:dyDescent="0.25">
      <c r="A390" s="1" t="s">
        <v>123</v>
      </c>
      <c r="B390" t="s">
        <v>18</v>
      </c>
      <c r="C390" t="s">
        <v>7</v>
      </c>
      <c r="D390">
        <v>2864400</v>
      </c>
    </row>
    <row r="391" spans="1:4" x14ac:dyDescent="0.25">
      <c r="A391" s="1" t="s">
        <v>123</v>
      </c>
      <c r="B391" t="s">
        <v>18</v>
      </c>
      <c r="C391" t="s">
        <v>6</v>
      </c>
      <c r="D391">
        <v>2393900</v>
      </c>
    </row>
    <row r="392" spans="1:4" x14ac:dyDescent="0.25">
      <c r="A392" s="1" t="s">
        <v>123</v>
      </c>
      <c r="B392" t="s">
        <v>114</v>
      </c>
      <c r="C392" t="s">
        <v>19</v>
      </c>
      <c r="D392">
        <v>2050800</v>
      </c>
    </row>
    <row r="393" spans="1:4" x14ac:dyDescent="0.25">
      <c r="A393" s="1" t="s">
        <v>124</v>
      </c>
      <c r="B393" t="s">
        <v>5</v>
      </c>
      <c r="C393" t="s">
        <v>7</v>
      </c>
      <c r="D393">
        <v>952600</v>
      </c>
    </row>
    <row r="394" spans="1:4" x14ac:dyDescent="0.25">
      <c r="A394" s="1" t="s">
        <v>124</v>
      </c>
      <c r="B394" t="s">
        <v>5</v>
      </c>
      <c r="C394" t="s">
        <v>6</v>
      </c>
      <c r="D394">
        <v>115500</v>
      </c>
    </row>
    <row r="395" spans="1:4" x14ac:dyDescent="0.25">
      <c r="A395" s="1" t="s">
        <v>124</v>
      </c>
      <c r="B395" t="s">
        <v>18</v>
      </c>
      <c r="C395" t="s">
        <v>7</v>
      </c>
      <c r="D395">
        <v>2867400</v>
      </c>
    </row>
    <row r="396" spans="1:4" x14ac:dyDescent="0.25">
      <c r="A396" s="1" t="s">
        <v>124</v>
      </c>
      <c r="B396" t="s">
        <v>18</v>
      </c>
      <c r="C396" t="s">
        <v>6</v>
      </c>
      <c r="D396">
        <v>2296300</v>
      </c>
    </row>
    <row r="397" spans="1:4" x14ac:dyDescent="0.25">
      <c r="A397" s="1" t="s">
        <v>124</v>
      </c>
      <c r="B397" t="s">
        <v>114</v>
      </c>
      <c r="C397" t="s">
        <v>19</v>
      </c>
      <c r="D397">
        <v>2170300</v>
      </c>
    </row>
    <row r="398" spans="1:4" x14ac:dyDescent="0.25">
      <c r="A398" s="1" t="s">
        <v>125</v>
      </c>
      <c r="B398" t="s">
        <v>5</v>
      </c>
      <c r="C398" t="s">
        <v>7</v>
      </c>
      <c r="D398">
        <v>925600</v>
      </c>
    </row>
    <row r="399" spans="1:4" x14ac:dyDescent="0.25">
      <c r="A399" s="1" t="s">
        <v>125</v>
      </c>
      <c r="B399" t="s">
        <v>5</v>
      </c>
      <c r="C399" t="s">
        <v>6</v>
      </c>
      <c r="D399">
        <v>114800</v>
      </c>
    </row>
    <row r="400" spans="1:4" x14ac:dyDescent="0.25">
      <c r="A400" s="1" t="s">
        <v>125</v>
      </c>
      <c r="B400" t="s">
        <v>18</v>
      </c>
      <c r="C400" t="s">
        <v>7</v>
      </c>
      <c r="D400">
        <v>2865900</v>
      </c>
    </row>
    <row r="401" spans="1:4" x14ac:dyDescent="0.25">
      <c r="A401" s="1" t="s">
        <v>125</v>
      </c>
      <c r="B401" t="s">
        <v>18</v>
      </c>
      <c r="C401" t="s">
        <v>6</v>
      </c>
      <c r="D401">
        <v>2220000</v>
      </c>
    </row>
    <row r="402" spans="1:4" x14ac:dyDescent="0.25">
      <c r="A402" s="1" t="s">
        <v>125</v>
      </c>
      <c r="B402" t="s">
        <v>114</v>
      </c>
      <c r="C402" t="s">
        <v>19</v>
      </c>
      <c r="D402">
        <v>2262100</v>
      </c>
    </row>
    <row r="403" spans="1:4" x14ac:dyDescent="0.25">
      <c r="A403" s="1" t="s">
        <v>126</v>
      </c>
      <c r="B403" t="s">
        <v>5</v>
      </c>
      <c r="C403" t="s">
        <v>7</v>
      </c>
      <c r="D403">
        <v>242900</v>
      </c>
    </row>
    <row r="404" spans="1:4" x14ac:dyDescent="0.25">
      <c r="A404" s="1" t="s">
        <v>126</v>
      </c>
      <c r="B404" t="s">
        <v>5</v>
      </c>
      <c r="C404" t="s">
        <v>6</v>
      </c>
      <c r="D404">
        <v>113500</v>
      </c>
    </row>
    <row r="405" spans="1:4" x14ac:dyDescent="0.25">
      <c r="A405" s="1" t="s">
        <v>126</v>
      </c>
      <c r="B405" t="s">
        <v>18</v>
      </c>
      <c r="C405" t="s">
        <v>7</v>
      </c>
      <c r="D405">
        <v>3560500</v>
      </c>
    </row>
    <row r="406" spans="1:4" x14ac:dyDescent="0.25">
      <c r="A406" s="1" t="s">
        <v>126</v>
      </c>
      <c r="B406" t="s">
        <v>18</v>
      </c>
      <c r="C406" t="s">
        <v>6</v>
      </c>
      <c r="D406">
        <v>2142600</v>
      </c>
    </row>
    <row r="407" spans="1:4" x14ac:dyDescent="0.25">
      <c r="A407" s="1" t="s">
        <v>126</v>
      </c>
      <c r="B407" t="s">
        <v>114</v>
      </c>
      <c r="C407" t="s">
        <v>19</v>
      </c>
      <c r="D407">
        <v>2378400</v>
      </c>
    </row>
    <row r="408" spans="1:4" x14ac:dyDescent="0.25">
      <c r="A408" s="1" t="s">
        <v>127</v>
      </c>
      <c r="B408" t="s">
        <v>5</v>
      </c>
      <c r="C408" t="s">
        <v>7</v>
      </c>
      <c r="D408">
        <v>237300</v>
      </c>
    </row>
    <row r="409" spans="1:4" x14ac:dyDescent="0.25">
      <c r="A409" s="1" t="s">
        <v>127</v>
      </c>
      <c r="B409" t="s">
        <v>5</v>
      </c>
      <c r="C409" t="s">
        <v>6</v>
      </c>
      <c r="D409">
        <v>109200</v>
      </c>
    </row>
    <row r="410" spans="1:4" x14ac:dyDescent="0.25">
      <c r="A410" s="1" t="s">
        <v>127</v>
      </c>
      <c r="B410" t="s">
        <v>18</v>
      </c>
      <c r="C410" t="s">
        <v>7</v>
      </c>
      <c r="D410">
        <v>3483900</v>
      </c>
    </row>
    <row r="411" spans="1:4" x14ac:dyDescent="0.25">
      <c r="A411" s="1" t="s">
        <v>127</v>
      </c>
      <c r="B411" t="s">
        <v>18</v>
      </c>
      <c r="C411" t="s">
        <v>6</v>
      </c>
      <c r="D411">
        <v>2066400</v>
      </c>
    </row>
    <row r="412" spans="1:4" x14ac:dyDescent="0.25">
      <c r="A412" s="1" t="s">
        <v>127</v>
      </c>
      <c r="B412" t="s">
        <v>114</v>
      </c>
      <c r="C412" t="s">
        <v>7</v>
      </c>
      <c r="D412">
        <v>91600</v>
      </c>
    </row>
    <row r="413" spans="1:4" x14ac:dyDescent="0.25">
      <c r="A413" s="1" t="s">
        <v>127</v>
      </c>
      <c r="B413" t="s">
        <v>114</v>
      </c>
      <c r="C413" t="s">
        <v>6</v>
      </c>
      <c r="D413">
        <v>2403700</v>
      </c>
    </row>
    <row r="414" spans="1:4" x14ac:dyDescent="0.25">
      <c r="A414" s="1" t="s">
        <v>128</v>
      </c>
      <c r="B414" t="s">
        <v>5</v>
      </c>
      <c r="C414" t="s">
        <v>7</v>
      </c>
      <c r="D414">
        <v>233300</v>
      </c>
    </row>
    <row r="415" spans="1:4" x14ac:dyDescent="0.25">
      <c r="A415" s="1" t="s">
        <v>128</v>
      </c>
      <c r="B415" t="s">
        <v>5</v>
      </c>
      <c r="C415" t="s">
        <v>6</v>
      </c>
      <c r="D415">
        <v>107100</v>
      </c>
    </row>
    <row r="416" spans="1:4" x14ac:dyDescent="0.25">
      <c r="A416" s="1" t="s">
        <v>128</v>
      </c>
      <c r="B416" t="s">
        <v>18</v>
      </c>
      <c r="C416" t="s">
        <v>7</v>
      </c>
      <c r="D416">
        <v>3432400</v>
      </c>
    </row>
    <row r="417" spans="1:4" x14ac:dyDescent="0.25">
      <c r="A417" s="1" t="s">
        <v>128</v>
      </c>
      <c r="B417" t="s">
        <v>18</v>
      </c>
      <c r="C417" t="s">
        <v>6</v>
      </c>
      <c r="D417">
        <v>1994100</v>
      </c>
    </row>
    <row r="418" spans="1:4" x14ac:dyDescent="0.25">
      <c r="A418" s="1" t="s">
        <v>128</v>
      </c>
      <c r="B418" t="s">
        <v>114</v>
      </c>
      <c r="C418" t="s">
        <v>7</v>
      </c>
      <c r="D418">
        <v>1000000</v>
      </c>
    </row>
    <row r="419" spans="1:4" x14ac:dyDescent="0.25">
      <c r="A419" s="1" t="s">
        <v>128</v>
      </c>
      <c r="B419" t="s">
        <v>114</v>
      </c>
      <c r="C419" t="s">
        <v>6</v>
      </c>
      <c r="D419">
        <v>2491400</v>
      </c>
    </row>
    <row r="420" spans="1:4" x14ac:dyDescent="0.25">
      <c r="A420" s="1" t="s">
        <v>129</v>
      </c>
      <c r="B420" t="s">
        <v>5</v>
      </c>
      <c r="C420" t="s">
        <v>7</v>
      </c>
      <c r="D420">
        <v>226800</v>
      </c>
    </row>
    <row r="421" spans="1:4" x14ac:dyDescent="0.25">
      <c r="A421" s="1" t="s">
        <v>129</v>
      </c>
      <c r="B421" t="s">
        <v>5</v>
      </c>
      <c r="C421" t="s">
        <v>6</v>
      </c>
      <c r="D421">
        <v>103900</v>
      </c>
    </row>
    <row r="422" spans="1:4" x14ac:dyDescent="0.25">
      <c r="A422" s="1" t="s">
        <v>129</v>
      </c>
      <c r="B422" t="s">
        <v>18</v>
      </c>
      <c r="C422" t="s">
        <v>7</v>
      </c>
      <c r="D422">
        <v>3336700</v>
      </c>
    </row>
    <row r="423" spans="1:4" x14ac:dyDescent="0.25">
      <c r="A423" s="1" t="s">
        <v>129</v>
      </c>
      <c r="B423" t="s">
        <v>18</v>
      </c>
      <c r="C423" t="s">
        <v>6</v>
      </c>
      <c r="D423">
        <v>1941900</v>
      </c>
    </row>
    <row r="424" spans="1:4" x14ac:dyDescent="0.25">
      <c r="A424" s="1" t="s">
        <v>129</v>
      </c>
      <c r="B424" t="s">
        <v>114</v>
      </c>
      <c r="C424" t="s">
        <v>7</v>
      </c>
      <c r="D424">
        <v>135300</v>
      </c>
    </row>
    <row r="425" spans="1:4" x14ac:dyDescent="0.25">
      <c r="A425" s="1" t="s">
        <v>129</v>
      </c>
      <c r="B425" t="s">
        <v>114</v>
      </c>
      <c r="C425" t="s">
        <v>6</v>
      </c>
      <c r="D425">
        <v>2566100</v>
      </c>
    </row>
    <row r="426" spans="1:4" x14ac:dyDescent="0.25">
      <c r="A426" s="1" t="s">
        <v>130</v>
      </c>
      <c r="B426" t="s">
        <v>5</v>
      </c>
      <c r="C426" t="s">
        <v>7</v>
      </c>
      <c r="D426">
        <v>222100</v>
      </c>
    </row>
    <row r="427" spans="1:4" x14ac:dyDescent="0.25">
      <c r="A427" s="1" t="s">
        <v>130</v>
      </c>
      <c r="B427" t="s">
        <v>5</v>
      </c>
      <c r="C427" t="s">
        <v>6</v>
      </c>
      <c r="D427">
        <v>100700</v>
      </c>
    </row>
    <row r="428" spans="1:4" x14ac:dyDescent="0.25">
      <c r="A428" s="1" t="s">
        <v>130</v>
      </c>
      <c r="B428" t="s">
        <v>18</v>
      </c>
      <c r="C428" t="s">
        <v>7</v>
      </c>
      <c r="D428">
        <v>3260300</v>
      </c>
    </row>
    <row r="429" spans="1:4" x14ac:dyDescent="0.25">
      <c r="A429" s="1" t="s">
        <v>130</v>
      </c>
      <c r="B429" t="s">
        <v>18</v>
      </c>
      <c r="C429" t="s">
        <v>6</v>
      </c>
      <c r="D429">
        <v>1950900</v>
      </c>
    </row>
    <row r="430" spans="1:4" x14ac:dyDescent="0.25">
      <c r="A430" s="1" t="s">
        <v>130</v>
      </c>
      <c r="B430" t="s">
        <v>114</v>
      </c>
      <c r="C430" t="s">
        <v>7</v>
      </c>
      <c r="D430">
        <v>162700</v>
      </c>
    </row>
    <row r="431" spans="1:4" x14ac:dyDescent="0.25">
      <c r="A431" s="1" t="s">
        <v>130</v>
      </c>
      <c r="B431" t="s">
        <v>114</v>
      </c>
      <c r="C431" t="s">
        <v>6</v>
      </c>
      <c r="D431">
        <v>40000000</v>
      </c>
    </row>
    <row r="432" spans="1:4" x14ac:dyDescent="0.25">
      <c r="A432" s="1" t="s">
        <v>131</v>
      </c>
      <c r="B432" t="s">
        <v>5</v>
      </c>
      <c r="C432" t="s">
        <v>7</v>
      </c>
      <c r="D432">
        <v>218600</v>
      </c>
    </row>
    <row r="433" spans="1:4" x14ac:dyDescent="0.25">
      <c r="A433" s="1" t="s">
        <v>131</v>
      </c>
      <c r="B433" t="s">
        <v>5</v>
      </c>
      <c r="C433" t="s">
        <v>6</v>
      </c>
      <c r="D433">
        <v>98500</v>
      </c>
    </row>
    <row r="434" spans="1:4" x14ac:dyDescent="0.25">
      <c r="A434" s="1" t="s">
        <v>131</v>
      </c>
      <c r="B434" t="s">
        <v>18</v>
      </c>
      <c r="C434" t="s">
        <v>7</v>
      </c>
      <c r="D434">
        <v>3199600</v>
      </c>
    </row>
    <row r="435" spans="1:4" x14ac:dyDescent="0.25">
      <c r="A435" s="1" t="s">
        <v>131</v>
      </c>
      <c r="B435" t="s">
        <v>18</v>
      </c>
      <c r="C435" t="s">
        <v>6</v>
      </c>
      <c r="D435">
        <v>1901900</v>
      </c>
    </row>
    <row r="436" spans="1:4" x14ac:dyDescent="0.25">
      <c r="A436" s="1" t="s">
        <v>131</v>
      </c>
      <c r="B436" t="s">
        <v>114</v>
      </c>
      <c r="C436" t="s">
        <v>7</v>
      </c>
      <c r="D436">
        <v>184500</v>
      </c>
    </row>
    <row r="437" spans="1:4" x14ac:dyDescent="0.25">
      <c r="A437" s="1" t="s">
        <v>131</v>
      </c>
      <c r="B437" t="s">
        <v>114</v>
      </c>
      <c r="C437" t="s">
        <v>6</v>
      </c>
      <c r="D437">
        <v>2626200</v>
      </c>
    </row>
    <row r="438" spans="1:4" x14ac:dyDescent="0.25">
      <c r="A438" s="1" t="s">
        <v>132</v>
      </c>
      <c r="B438" t="s">
        <v>5</v>
      </c>
      <c r="C438" t="s">
        <v>7</v>
      </c>
      <c r="D438">
        <v>216300</v>
      </c>
    </row>
    <row r="439" spans="1:4" x14ac:dyDescent="0.25">
      <c r="A439" s="1" t="s">
        <v>132</v>
      </c>
      <c r="B439" t="s">
        <v>5</v>
      </c>
      <c r="C439" t="s">
        <v>6</v>
      </c>
      <c r="D439">
        <v>97100</v>
      </c>
    </row>
    <row r="440" spans="1:4" x14ac:dyDescent="0.25">
      <c r="A440" s="1" t="s">
        <v>132</v>
      </c>
      <c r="B440" t="s">
        <v>18</v>
      </c>
      <c r="C440" t="s">
        <v>7</v>
      </c>
      <c r="D440">
        <v>3100800</v>
      </c>
    </row>
    <row r="441" spans="1:4" x14ac:dyDescent="0.25">
      <c r="A441" s="1" t="s">
        <v>132</v>
      </c>
      <c r="B441" t="s">
        <v>18</v>
      </c>
      <c r="C441" t="s">
        <v>6</v>
      </c>
      <c r="D441">
        <v>1864300</v>
      </c>
    </row>
    <row r="442" spans="1:4" x14ac:dyDescent="0.25">
      <c r="A442" s="1" t="s">
        <v>132</v>
      </c>
      <c r="B442" t="s">
        <v>114</v>
      </c>
      <c r="C442" t="s">
        <v>7</v>
      </c>
      <c r="D442">
        <v>199500</v>
      </c>
    </row>
    <row r="443" spans="1:4" x14ac:dyDescent="0.25">
      <c r="A443" s="1" t="s">
        <v>132</v>
      </c>
      <c r="B443" t="s">
        <v>114</v>
      </c>
      <c r="C443" t="s">
        <v>6</v>
      </c>
      <c r="D443">
        <v>2676400</v>
      </c>
    </row>
    <row r="444" spans="1:4" x14ac:dyDescent="0.25">
      <c r="A444" s="1" t="s">
        <v>133</v>
      </c>
      <c r="B444" t="s">
        <v>5</v>
      </c>
      <c r="C444" t="s">
        <v>7</v>
      </c>
      <c r="D444">
        <v>215500</v>
      </c>
    </row>
    <row r="445" spans="1:4" x14ac:dyDescent="0.25">
      <c r="A445" s="1" t="s">
        <v>133</v>
      </c>
      <c r="B445" t="s">
        <v>5</v>
      </c>
      <c r="C445" t="s">
        <v>6</v>
      </c>
      <c r="D445">
        <v>95000</v>
      </c>
    </row>
    <row r="446" spans="1:4" x14ac:dyDescent="0.25">
      <c r="A446" s="1" t="s">
        <v>133</v>
      </c>
      <c r="B446" t="s">
        <v>18</v>
      </c>
      <c r="C446" t="s">
        <v>7</v>
      </c>
      <c r="D446">
        <v>3053900</v>
      </c>
    </row>
    <row r="447" spans="1:4" x14ac:dyDescent="0.25">
      <c r="A447" s="1" t="s">
        <v>133</v>
      </c>
      <c r="B447" t="s">
        <v>18</v>
      </c>
      <c r="C447" t="s">
        <v>6</v>
      </c>
      <c r="D447">
        <v>1799000</v>
      </c>
    </row>
    <row r="448" spans="1:4" x14ac:dyDescent="0.25">
      <c r="A448" s="1" t="s">
        <v>133</v>
      </c>
      <c r="B448" t="s">
        <v>114</v>
      </c>
      <c r="C448" t="s">
        <v>7</v>
      </c>
      <c r="D448">
        <v>213400</v>
      </c>
    </row>
    <row r="449" spans="1:4" x14ac:dyDescent="0.25">
      <c r="A449" s="1" t="s">
        <v>133</v>
      </c>
      <c r="B449" t="s">
        <v>114</v>
      </c>
      <c r="C449" t="s">
        <v>6</v>
      </c>
      <c r="D449">
        <v>2759400</v>
      </c>
    </row>
    <row r="450" spans="1:4" x14ac:dyDescent="0.25">
      <c r="A450" s="1" t="s">
        <v>134</v>
      </c>
      <c r="B450" t="s">
        <v>5</v>
      </c>
      <c r="C450" t="s">
        <v>7</v>
      </c>
      <c r="D450">
        <v>216200</v>
      </c>
    </row>
    <row r="451" spans="1:4" x14ac:dyDescent="0.25">
      <c r="A451" s="1" t="s">
        <v>134</v>
      </c>
      <c r="B451" t="s">
        <v>5</v>
      </c>
      <c r="C451" t="s">
        <v>6</v>
      </c>
      <c r="D451">
        <v>92700</v>
      </c>
    </row>
    <row r="452" spans="1:4" x14ac:dyDescent="0.25">
      <c r="A452" s="1" t="s">
        <v>134</v>
      </c>
      <c r="B452" t="s">
        <v>18</v>
      </c>
      <c r="C452" t="s">
        <v>7</v>
      </c>
      <c r="D452">
        <v>2977200</v>
      </c>
    </row>
    <row r="453" spans="1:4" x14ac:dyDescent="0.25">
      <c r="A453" s="1" t="s">
        <v>134</v>
      </c>
      <c r="B453" t="s">
        <v>18</v>
      </c>
      <c r="C453" t="s">
        <v>6</v>
      </c>
      <c r="D453">
        <v>1734800</v>
      </c>
    </row>
    <row r="454" spans="1:4" x14ac:dyDescent="0.25">
      <c r="A454" s="1" t="s">
        <v>134</v>
      </c>
      <c r="B454" t="s">
        <v>114</v>
      </c>
      <c r="C454" t="s">
        <v>7</v>
      </c>
      <c r="D454">
        <v>239600</v>
      </c>
    </row>
    <row r="455" spans="1:4" x14ac:dyDescent="0.25">
      <c r="A455" s="1" t="s">
        <v>134</v>
      </c>
      <c r="B455" t="s">
        <v>114</v>
      </c>
      <c r="C455" t="s">
        <v>6</v>
      </c>
      <c r="D455">
        <v>2847400</v>
      </c>
    </row>
    <row r="456" spans="1:4" x14ac:dyDescent="0.25">
      <c r="A456" s="1" t="s">
        <v>135</v>
      </c>
      <c r="B456" t="s">
        <v>5</v>
      </c>
      <c r="C456" t="s">
        <v>7</v>
      </c>
      <c r="D456">
        <v>213100</v>
      </c>
    </row>
    <row r="457" spans="1:4" x14ac:dyDescent="0.25">
      <c r="A457" s="1" t="s">
        <v>135</v>
      </c>
      <c r="B457" t="s">
        <v>5</v>
      </c>
      <c r="C457" t="s">
        <v>6</v>
      </c>
      <c r="D457">
        <v>89800</v>
      </c>
    </row>
    <row r="458" spans="1:4" x14ac:dyDescent="0.25">
      <c r="A458" s="1" t="s">
        <v>135</v>
      </c>
      <c r="B458" t="s">
        <v>18</v>
      </c>
      <c r="C458" t="s">
        <v>7</v>
      </c>
      <c r="D458">
        <v>2934400</v>
      </c>
    </row>
    <row r="459" spans="1:4" x14ac:dyDescent="0.25">
      <c r="A459" s="1" t="s">
        <v>135</v>
      </c>
      <c r="B459" t="s">
        <v>18</v>
      </c>
      <c r="C459" t="s">
        <v>6</v>
      </c>
      <c r="D459">
        <v>1674400</v>
      </c>
    </row>
    <row r="460" spans="1:4" x14ac:dyDescent="0.25">
      <c r="A460" s="1" t="s">
        <v>135</v>
      </c>
      <c r="B460" t="s">
        <v>114</v>
      </c>
      <c r="C460" t="s">
        <v>7</v>
      </c>
      <c r="D460">
        <v>257600</v>
      </c>
    </row>
    <row r="461" spans="1:4" x14ac:dyDescent="0.25">
      <c r="A461" s="1" t="s">
        <v>135</v>
      </c>
      <c r="B461" t="s">
        <v>114</v>
      </c>
      <c r="C461" t="s">
        <v>6</v>
      </c>
      <c r="D461">
        <v>2924000</v>
      </c>
    </row>
    <row r="462" spans="1:4" x14ac:dyDescent="0.25">
      <c r="A462" s="1" t="s">
        <v>136</v>
      </c>
      <c r="B462" t="s">
        <v>5</v>
      </c>
      <c r="C462" t="s">
        <v>7</v>
      </c>
      <c r="D462">
        <v>205400</v>
      </c>
    </row>
    <row r="463" spans="1:4" x14ac:dyDescent="0.25">
      <c r="A463" s="1" t="s">
        <v>136</v>
      </c>
      <c r="B463" t="s">
        <v>5</v>
      </c>
      <c r="C463" t="s">
        <v>6</v>
      </c>
      <c r="D463">
        <v>87200</v>
      </c>
    </row>
    <row r="464" spans="1:4" x14ac:dyDescent="0.25">
      <c r="A464" s="1" t="s">
        <v>136</v>
      </c>
      <c r="B464" t="s">
        <v>18</v>
      </c>
      <c r="C464" t="s">
        <v>7</v>
      </c>
      <c r="D464">
        <v>2887200</v>
      </c>
    </row>
    <row r="465" spans="1:4" x14ac:dyDescent="0.25">
      <c r="A465" s="1" t="s">
        <v>136</v>
      </c>
      <c r="B465" t="s">
        <v>18</v>
      </c>
      <c r="C465" t="s">
        <v>6</v>
      </c>
      <c r="D465">
        <v>1621900</v>
      </c>
    </row>
    <row r="466" spans="1:4" x14ac:dyDescent="0.25">
      <c r="A466" s="1" t="s">
        <v>136</v>
      </c>
      <c r="B466" t="s">
        <v>114</v>
      </c>
      <c r="C466" t="s">
        <v>7</v>
      </c>
      <c r="D466">
        <v>313700</v>
      </c>
    </row>
    <row r="467" spans="1:4" x14ac:dyDescent="0.25">
      <c r="A467" s="1" t="s">
        <v>136</v>
      </c>
      <c r="B467" t="s">
        <v>114</v>
      </c>
      <c r="C467" t="s">
        <v>6</v>
      </c>
      <c r="D467">
        <v>2991300</v>
      </c>
    </row>
    <row r="468" spans="1:4" x14ac:dyDescent="0.25">
      <c r="A468" s="1" t="s">
        <v>137</v>
      </c>
      <c r="B468" t="s">
        <v>5</v>
      </c>
      <c r="C468" t="s">
        <v>7</v>
      </c>
      <c r="D468">
        <v>205700</v>
      </c>
    </row>
    <row r="469" spans="1:4" x14ac:dyDescent="0.25">
      <c r="A469" s="1" t="s">
        <v>137</v>
      </c>
      <c r="B469" t="s">
        <v>5</v>
      </c>
      <c r="C469" t="s">
        <v>6</v>
      </c>
      <c r="D469">
        <v>85200</v>
      </c>
    </row>
    <row r="470" spans="1:4" x14ac:dyDescent="0.25">
      <c r="A470" s="1" t="s">
        <v>137</v>
      </c>
      <c r="B470" t="s">
        <v>18</v>
      </c>
      <c r="C470" t="s">
        <v>7</v>
      </c>
      <c r="D470">
        <v>2831100</v>
      </c>
    </row>
    <row r="471" spans="1:4" x14ac:dyDescent="0.25">
      <c r="A471" s="1" t="s">
        <v>137</v>
      </c>
      <c r="B471" t="s">
        <v>18</v>
      </c>
      <c r="C471" t="s">
        <v>6</v>
      </c>
      <c r="D471">
        <v>1589200</v>
      </c>
    </row>
    <row r="472" spans="1:4" x14ac:dyDescent="0.25">
      <c r="A472" s="1" t="s">
        <v>137</v>
      </c>
      <c r="B472" t="s">
        <v>114</v>
      </c>
      <c r="C472" t="s">
        <v>7</v>
      </c>
      <c r="D472">
        <v>90000000</v>
      </c>
    </row>
    <row r="473" spans="1:4" x14ac:dyDescent="0.25">
      <c r="A473" s="1" t="s">
        <v>137</v>
      </c>
      <c r="B473" t="s">
        <v>114</v>
      </c>
      <c r="C473" t="s">
        <v>6</v>
      </c>
      <c r="D473">
        <v>3035300</v>
      </c>
    </row>
    <row r="474" spans="1:4" x14ac:dyDescent="0.25">
      <c r="A474" s="1" t="s">
        <v>138</v>
      </c>
      <c r="B474" t="s">
        <v>5</v>
      </c>
      <c r="C474" t="s">
        <v>7</v>
      </c>
      <c r="D474">
        <v>203500</v>
      </c>
    </row>
    <row r="475" spans="1:4" x14ac:dyDescent="0.25">
      <c r="A475" s="1" t="s">
        <v>138</v>
      </c>
      <c r="B475" t="s">
        <v>5</v>
      </c>
      <c r="C475" t="s">
        <v>6</v>
      </c>
      <c r="D475">
        <v>83100</v>
      </c>
    </row>
    <row r="476" spans="1:4" x14ac:dyDescent="0.25">
      <c r="A476" s="1" t="s">
        <v>138</v>
      </c>
      <c r="B476" t="s">
        <v>18</v>
      </c>
      <c r="C476" t="s">
        <v>7</v>
      </c>
      <c r="D476">
        <v>2781900</v>
      </c>
    </row>
    <row r="477" spans="1:4" x14ac:dyDescent="0.25">
      <c r="A477" s="1" t="s">
        <v>138</v>
      </c>
      <c r="B477" t="s">
        <v>18</v>
      </c>
      <c r="C477" t="s">
        <v>6</v>
      </c>
      <c r="D477">
        <v>1559900</v>
      </c>
    </row>
    <row r="478" spans="1:4" x14ac:dyDescent="0.25">
      <c r="A478" s="1" t="s">
        <v>138</v>
      </c>
      <c r="B478" t="s">
        <v>114</v>
      </c>
      <c r="C478" t="s">
        <v>7</v>
      </c>
      <c r="D478">
        <v>80000000</v>
      </c>
    </row>
    <row r="479" spans="1:4" x14ac:dyDescent="0.25">
      <c r="A479" s="1" t="s">
        <v>138</v>
      </c>
      <c r="B479" t="s">
        <v>114</v>
      </c>
      <c r="C479" t="s">
        <v>6</v>
      </c>
      <c r="D479">
        <v>3080100</v>
      </c>
    </row>
    <row r="480" spans="1:4" x14ac:dyDescent="0.25">
      <c r="A480" s="1" t="s">
        <v>139</v>
      </c>
      <c r="B480" t="s">
        <v>5</v>
      </c>
      <c r="C480" t="s">
        <v>7</v>
      </c>
      <c r="D480">
        <v>203700</v>
      </c>
    </row>
    <row r="481" spans="1:4" x14ac:dyDescent="0.25">
      <c r="A481" s="1" t="s">
        <v>139</v>
      </c>
      <c r="B481" t="s">
        <v>5</v>
      </c>
      <c r="C481" t="s">
        <v>6</v>
      </c>
      <c r="D481">
        <v>81800</v>
      </c>
    </row>
    <row r="482" spans="1:4" x14ac:dyDescent="0.25">
      <c r="A482" s="1" t="s">
        <v>139</v>
      </c>
      <c r="B482" t="s">
        <v>18</v>
      </c>
      <c r="C482" t="s">
        <v>7</v>
      </c>
      <c r="D482">
        <v>2757100</v>
      </c>
    </row>
    <row r="483" spans="1:4" x14ac:dyDescent="0.25">
      <c r="A483" s="1" t="s">
        <v>139</v>
      </c>
      <c r="B483" t="s">
        <v>18</v>
      </c>
      <c r="C483" t="s">
        <v>6</v>
      </c>
      <c r="D483">
        <v>1530400</v>
      </c>
    </row>
    <row r="484" spans="1:4" x14ac:dyDescent="0.25">
      <c r="A484" s="1" t="s">
        <v>139</v>
      </c>
      <c r="B484" t="s">
        <v>114</v>
      </c>
      <c r="C484" t="s">
        <v>7</v>
      </c>
      <c r="D484">
        <v>425400</v>
      </c>
    </row>
    <row r="485" spans="1:4" x14ac:dyDescent="0.25">
      <c r="A485" s="1" t="s">
        <v>139</v>
      </c>
      <c r="B485" t="s">
        <v>114</v>
      </c>
      <c r="C485" t="s">
        <v>6</v>
      </c>
      <c r="D485">
        <v>3125500</v>
      </c>
    </row>
    <row r="486" spans="1:4" x14ac:dyDescent="0.25">
      <c r="A486" s="1" t="s">
        <v>140</v>
      </c>
      <c r="B486" t="s">
        <v>5</v>
      </c>
      <c r="C486" t="s">
        <v>7</v>
      </c>
      <c r="D486">
        <v>195200</v>
      </c>
    </row>
    <row r="487" spans="1:4" x14ac:dyDescent="0.25">
      <c r="A487" s="1" t="s">
        <v>140</v>
      </c>
      <c r="B487" t="s">
        <v>5</v>
      </c>
      <c r="C487" t="s">
        <v>6</v>
      </c>
      <c r="D487">
        <v>80300</v>
      </c>
    </row>
    <row r="488" spans="1:4" x14ac:dyDescent="0.25">
      <c r="A488" s="1" t="s">
        <v>140</v>
      </c>
      <c r="B488" t="s">
        <v>18</v>
      </c>
      <c r="C488" t="s">
        <v>7</v>
      </c>
      <c r="D488">
        <v>2730700</v>
      </c>
    </row>
    <row r="489" spans="1:4" x14ac:dyDescent="0.25">
      <c r="A489" s="1" t="s">
        <v>140</v>
      </c>
      <c r="B489" t="s">
        <v>18</v>
      </c>
      <c r="C489" t="s">
        <v>6</v>
      </c>
      <c r="D489">
        <v>1497500</v>
      </c>
    </row>
    <row r="490" spans="1:4" x14ac:dyDescent="0.25">
      <c r="A490" s="1" t="s">
        <v>140</v>
      </c>
      <c r="B490" t="s">
        <v>114</v>
      </c>
      <c r="C490" t="s">
        <v>7</v>
      </c>
      <c r="D490">
        <v>446200</v>
      </c>
    </row>
    <row r="491" spans="1:4" x14ac:dyDescent="0.25">
      <c r="A491" s="1" t="s">
        <v>140</v>
      </c>
      <c r="B491" t="s">
        <v>114</v>
      </c>
      <c r="C491" t="s">
        <v>6</v>
      </c>
      <c r="D491">
        <v>3168000</v>
      </c>
    </row>
    <row r="492" spans="1:4" x14ac:dyDescent="0.25">
      <c r="A492" s="1" t="s">
        <v>141</v>
      </c>
      <c r="B492" t="s">
        <v>5</v>
      </c>
      <c r="C492" t="s">
        <v>7</v>
      </c>
      <c r="D492">
        <v>191600</v>
      </c>
    </row>
    <row r="493" spans="1:4" x14ac:dyDescent="0.25">
      <c r="A493" s="1" t="s">
        <v>141</v>
      </c>
      <c r="B493" t="s">
        <v>5</v>
      </c>
      <c r="C493" t="s">
        <v>6</v>
      </c>
      <c r="D493">
        <v>77900</v>
      </c>
    </row>
    <row r="494" spans="1:4" x14ac:dyDescent="0.25">
      <c r="A494" s="1" t="s">
        <v>141</v>
      </c>
      <c r="B494" t="s">
        <v>18</v>
      </c>
      <c r="C494" t="s">
        <v>7</v>
      </c>
      <c r="D494">
        <v>2721400</v>
      </c>
    </row>
    <row r="495" spans="1:4" x14ac:dyDescent="0.25">
      <c r="A495" s="1" t="s">
        <v>141</v>
      </c>
      <c r="B495" t="s">
        <v>18</v>
      </c>
      <c r="C495" t="s">
        <v>6</v>
      </c>
      <c r="D495">
        <v>1468400</v>
      </c>
    </row>
    <row r="496" spans="1:4" x14ac:dyDescent="0.25">
      <c r="A496" s="1" t="s">
        <v>141</v>
      </c>
      <c r="B496" t="s">
        <v>114</v>
      </c>
      <c r="C496" t="s">
        <v>7</v>
      </c>
      <c r="D496">
        <v>454600</v>
      </c>
    </row>
    <row r="497" spans="1:4" x14ac:dyDescent="0.25">
      <c r="A497" s="1" t="s">
        <v>141</v>
      </c>
      <c r="B497" t="s">
        <v>114</v>
      </c>
      <c r="C497" t="s">
        <v>6</v>
      </c>
      <c r="D497">
        <v>3212700</v>
      </c>
    </row>
    <row r="498" spans="1:4" x14ac:dyDescent="0.25">
      <c r="A498" s="1" t="s">
        <v>142</v>
      </c>
      <c r="B498" t="s">
        <v>5</v>
      </c>
      <c r="C498" t="s">
        <v>7</v>
      </c>
      <c r="D498">
        <v>179900</v>
      </c>
    </row>
    <row r="499" spans="1:4" x14ac:dyDescent="0.25">
      <c r="A499" s="1" t="s">
        <v>142</v>
      </c>
      <c r="B499" t="s">
        <v>5</v>
      </c>
      <c r="C499" t="s">
        <v>6</v>
      </c>
      <c r="D499">
        <v>76500</v>
      </c>
    </row>
    <row r="500" spans="1:4" x14ac:dyDescent="0.25">
      <c r="A500" s="1" t="s">
        <v>142</v>
      </c>
      <c r="B500" t="s">
        <v>18</v>
      </c>
      <c r="C500" t="s">
        <v>7</v>
      </c>
      <c r="D500">
        <v>2726700</v>
      </c>
    </row>
    <row r="501" spans="1:4" x14ac:dyDescent="0.25">
      <c r="A501" s="1" t="s">
        <v>142</v>
      </c>
      <c r="B501" t="s">
        <v>18</v>
      </c>
      <c r="C501" t="s">
        <v>6</v>
      </c>
      <c r="D501">
        <v>1436100</v>
      </c>
    </row>
    <row r="502" spans="1:4" x14ac:dyDescent="0.25">
      <c r="A502" s="1" t="s">
        <v>142</v>
      </c>
      <c r="B502" t="s">
        <v>114</v>
      </c>
      <c r="C502" t="s">
        <v>7</v>
      </c>
      <c r="D502">
        <v>464600</v>
      </c>
    </row>
    <row r="503" spans="1:4" x14ac:dyDescent="0.25">
      <c r="A503" s="1" t="s">
        <v>142</v>
      </c>
      <c r="B503" t="s">
        <v>114</v>
      </c>
      <c r="C503" t="s">
        <v>6</v>
      </c>
      <c r="D503">
        <v>3259100</v>
      </c>
    </row>
    <row r="504" spans="1:4" x14ac:dyDescent="0.25">
      <c r="A504" s="1" t="s">
        <v>143</v>
      </c>
      <c r="B504" t="s">
        <v>5</v>
      </c>
      <c r="C504" t="s">
        <v>7</v>
      </c>
      <c r="D504">
        <v>180300</v>
      </c>
    </row>
    <row r="505" spans="1:4" x14ac:dyDescent="0.25">
      <c r="A505" s="1" t="s">
        <v>143</v>
      </c>
      <c r="B505" t="s">
        <v>5</v>
      </c>
      <c r="C505" t="s">
        <v>6</v>
      </c>
      <c r="D505">
        <v>71900</v>
      </c>
    </row>
    <row r="506" spans="1:4" x14ac:dyDescent="0.25">
      <c r="A506" s="1" t="s">
        <v>143</v>
      </c>
      <c r="B506" t="s">
        <v>18</v>
      </c>
      <c r="C506" t="s">
        <v>7</v>
      </c>
      <c r="D506">
        <v>2730400</v>
      </c>
    </row>
    <row r="507" spans="1:4" x14ac:dyDescent="0.25">
      <c r="A507" s="1" t="s">
        <v>143</v>
      </c>
      <c r="B507" t="s">
        <v>18</v>
      </c>
      <c r="C507" t="s">
        <v>6</v>
      </c>
      <c r="D507">
        <v>1408100</v>
      </c>
    </row>
    <row r="508" spans="1:4" x14ac:dyDescent="0.25">
      <c r="A508" s="1" t="s">
        <v>143</v>
      </c>
      <c r="B508" t="s">
        <v>114</v>
      </c>
      <c r="C508" t="s">
        <v>7</v>
      </c>
      <c r="D508">
        <v>467200</v>
      </c>
    </row>
    <row r="509" spans="1:4" x14ac:dyDescent="0.25">
      <c r="A509" s="1" t="s">
        <v>143</v>
      </c>
      <c r="B509" t="s">
        <v>114</v>
      </c>
      <c r="C509" t="s">
        <v>6</v>
      </c>
      <c r="D509">
        <v>3308200</v>
      </c>
    </row>
    <row r="510" spans="1:4" x14ac:dyDescent="0.25">
      <c r="A510" s="1" t="s">
        <v>144</v>
      </c>
      <c r="B510" t="s">
        <v>5</v>
      </c>
      <c r="C510" t="s">
        <v>7</v>
      </c>
      <c r="D510">
        <v>180000</v>
      </c>
    </row>
    <row r="511" spans="1:4" x14ac:dyDescent="0.25">
      <c r="A511" s="1" t="s">
        <v>144</v>
      </c>
      <c r="B511" t="s">
        <v>5</v>
      </c>
      <c r="C511" t="s">
        <v>6</v>
      </c>
      <c r="D511">
        <v>69100</v>
      </c>
    </row>
    <row r="512" spans="1:4" x14ac:dyDescent="0.25">
      <c r="A512" s="1" t="s">
        <v>144</v>
      </c>
      <c r="B512" t="s">
        <v>18</v>
      </c>
      <c r="C512" t="s">
        <v>7</v>
      </c>
      <c r="D512">
        <v>2730100</v>
      </c>
    </row>
    <row r="513" spans="1:4" x14ac:dyDescent="0.25">
      <c r="A513" s="1" t="s">
        <v>144</v>
      </c>
      <c r="B513" t="s">
        <v>18</v>
      </c>
      <c r="C513" t="s">
        <v>6</v>
      </c>
      <c r="D513">
        <v>1308100</v>
      </c>
    </row>
    <row r="514" spans="1:4" x14ac:dyDescent="0.25">
      <c r="A514" s="1" t="s">
        <v>144</v>
      </c>
      <c r="B514" t="s">
        <v>114</v>
      </c>
      <c r="C514" t="s">
        <v>7</v>
      </c>
      <c r="D514">
        <v>456100</v>
      </c>
    </row>
    <row r="515" spans="1:4" x14ac:dyDescent="0.25">
      <c r="A515" s="1" t="s">
        <v>144</v>
      </c>
      <c r="B515" t="s">
        <v>114</v>
      </c>
      <c r="C515" t="s">
        <v>6</v>
      </c>
      <c r="D515">
        <v>3421300</v>
      </c>
    </row>
    <row r="516" spans="1:4" x14ac:dyDescent="0.25">
      <c r="A516" s="1" t="s">
        <v>145</v>
      </c>
      <c r="B516" t="s">
        <v>5</v>
      </c>
      <c r="C516" t="s">
        <v>7</v>
      </c>
      <c r="D516">
        <v>188000</v>
      </c>
    </row>
    <row r="517" spans="1:4" x14ac:dyDescent="0.25">
      <c r="A517" s="1" t="s">
        <v>145</v>
      </c>
      <c r="B517" t="s">
        <v>5</v>
      </c>
      <c r="C517" t="s">
        <v>6</v>
      </c>
      <c r="D517">
        <v>64800</v>
      </c>
    </row>
    <row r="518" spans="1:4" x14ac:dyDescent="0.25">
      <c r="A518" s="1" t="s">
        <v>145</v>
      </c>
      <c r="B518" t="s">
        <v>18</v>
      </c>
      <c r="C518" t="s">
        <v>7</v>
      </c>
      <c r="D518">
        <v>2718400</v>
      </c>
    </row>
    <row r="519" spans="1:4" x14ac:dyDescent="0.25">
      <c r="A519" s="1" t="s">
        <v>145</v>
      </c>
      <c r="B519" t="s">
        <v>18</v>
      </c>
      <c r="C519" t="s">
        <v>6</v>
      </c>
      <c r="D519">
        <v>1294400</v>
      </c>
    </row>
    <row r="520" spans="1:4" x14ac:dyDescent="0.25">
      <c r="A520" s="1" t="s">
        <v>145</v>
      </c>
      <c r="B520" t="s">
        <v>114</v>
      </c>
      <c r="C520" t="s">
        <v>7</v>
      </c>
      <c r="D520">
        <v>448400</v>
      </c>
    </row>
    <row r="521" spans="1:4" x14ac:dyDescent="0.25">
      <c r="A521" s="1" t="s">
        <v>145</v>
      </c>
      <c r="B521" t="s">
        <v>114</v>
      </c>
      <c r="C521" t="s">
        <v>6</v>
      </c>
      <c r="D521">
        <v>3451000</v>
      </c>
    </row>
    <row r="522" spans="1:4" x14ac:dyDescent="0.25">
      <c r="A522" s="1" t="s">
        <v>146</v>
      </c>
      <c r="B522" t="s">
        <v>5</v>
      </c>
      <c r="C522" t="s">
        <v>7</v>
      </c>
      <c r="D522">
        <v>175400</v>
      </c>
    </row>
    <row r="523" spans="1:4" x14ac:dyDescent="0.25">
      <c r="A523" s="1" t="s">
        <v>146</v>
      </c>
      <c r="B523" t="s">
        <v>5</v>
      </c>
      <c r="C523" t="s">
        <v>6</v>
      </c>
      <c r="D523">
        <v>52000</v>
      </c>
    </row>
    <row r="524" spans="1:4" x14ac:dyDescent="0.25">
      <c r="A524" s="1" t="s">
        <v>146</v>
      </c>
      <c r="B524" t="s">
        <v>18</v>
      </c>
      <c r="C524" t="s">
        <v>7</v>
      </c>
      <c r="D524">
        <v>2725000</v>
      </c>
    </row>
    <row r="525" spans="1:4" x14ac:dyDescent="0.25">
      <c r="A525" s="1" t="s">
        <v>146</v>
      </c>
      <c r="B525" t="s">
        <v>18</v>
      </c>
      <c r="C525" t="s">
        <v>6</v>
      </c>
      <c r="D525">
        <v>1231100</v>
      </c>
    </row>
    <row r="526" spans="1:4" x14ac:dyDescent="0.25">
      <c r="A526" s="1" t="s">
        <v>146</v>
      </c>
      <c r="B526" t="s">
        <v>114</v>
      </c>
      <c r="C526" t="s">
        <v>7</v>
      </c>
      <c r="D526">
        <v>70000000</v>
      </c>
    </row>
    <row r="527" spans="1:4" x14ac:dyDescent="0.25">
      <c r="A527" s="1" t="s">
        <v>146</v>
      </c>
      <c r="B527" t="s">
        <v>114</v>
      </c>
      <c r="C527" t="s">
        <v>6</v>
      </c>
      <c r="D527">
        <v>3540300</v>
      </c>
    </row>
    <row r="528" spans="1:4" x14ac:dyDescent="0.25">
      <c r="A528" s="1" t="s">
        <v>147</v>
      </c>
      <c r="B528" t="s">
        <v>5</v>
      </c>
      <c r="C528" t="s">
        <v>7</v>
      </c>
      <c r="D528">
        <v>172400</v>
      </c>
    </row>
    <row r="529" spans="1:4" x14ac:dyDescent="0.25">
      <c r="A529" s="1" t="s">
        <v>147</v>
      </c>
      <c r="B529" t="s">
        <v>5</v>
      </c>
      <c r="C529" t="s">
        <v>6</v>
      </c>
      <c r="D529">
        <v>49200</v>
      </c>
    </row>
    <row r="530" spans="1:4" x14ac:dyDescent="0.25">
      <c r="A530" s="1" t="s">
        <v>147</v>
      </c>
      <c r="B530" t="s">
        <v>18</v>
      </c>
      <c r="C530" t="s">
        <v>7</v>
      </c>
      <c r="D530">
        <v>2750100</v>
      </c>
    </row>
    <row r="531" spans="1:4" x14ac:dyDescent="0.25">
      <c r="A531" s="1" t="s">
        <v>147</v>
      </c>
      <c r="B531" t="s">
        <v>18</v>
      </c>
      <c r="C531" t="s">
        <v>6</v>
      </c>
      <c r="D531">
        <v>1163400</v>
      </c>
    </row>
    <row r="532" spans="1:4" x14ac:dyDescent="0.25">
      <c r="A532" s="1" t="s">
        <v>147</v>
      </c>
      <c r="B532" t="s">
        <v>114</v>
      </c>
      <c r="C532" t="s">
        <v>7</v>
      </c>
      <c r="D532">
        <v>447700</v>
      </c>
    </row>
    <row r="533" spans="1:4" x14ac:dyDescent="0.25">
      <c r="A533" s="1" t="s">
        <v>147</v>
      </c>
      <c r="B533" t="s">
        <v>114</v>
      </c>
      <c r="C533" t="s">
        <v>6</v>
      </c>
      <c r="D533">
        <v>3628600</v>
      </c>
    </row>
    <row r="534" spans="1:4" x14ac:dyDescent="0.25">
      <c r="A534" s="1" t="s">
        <v>148</v>
      </c>
      <c r="B534" t="s">
        <v>5</v>
      </c>
      <c r="C534" t="s">
        <v>7</v>
      </c>
      <c r="D534">
        <v>156800</v>
      </c>
    </row>
    <row r="535" spans="1:4" x14ac:dyDescent="0.25">
      <c r="A535" s="1" t="s">
        <v>148</v>
      </c>
      <c r="B535" t="s">
        <v>5</v>
      </c>
      <c r="C535" t="s">
        <v>6</v>
      </c>
      <c r="D535">
        <v>46800</v>
      </c>
    </row>
    <row r="536" spans="1:4" x14ac:dyDescent="0.25">
      <c r="A536" s="1" t="s">
        <v>148</v>
      </c>
      <c r="B536" t="s">
        <v>18</v>
      </c>
      <c r="C536" t="s">
        <v>7</v>
      </c>
      <c r="D536">
        <v>2759400</v>
      </c>
    </row>
    <row r="537" spans="1:4" x14ac:dyDescent="0.25">
      <c r="A537" s="1" t="s">
        <v>148</v>
      </c>
      <c r="B537" t="s">
        <v>18</v>
      </c>
      <c r="C537" t="s">
        <v>6</v>
      </c>
      <c r="D537">
        <v>1124100</v>
      </c>
    </row>
    <row r="538" spans="1:4" x14ac:dyDescent="0.25">
      <c r="A538" s="1" t="s">
        <v>148</v>
      </c>
      <c r="B538" t="s">
        <v>114</v>
      </c>
      <c r="C538" t="s">
        <v>7</v>
      </c>
      <c r="D538">
        <v>450900</v>
      </c>
    </row>
    <row r="539" spans="1:4" x14ac:dyDescent="0.25">
      <c r="A539" s="1" t="s">
        <v>148</v>
      </c>
      <c r="B539" t="s">
        <v>114</v>
      </c>
      <c r="C539" t="s">
        <v>6</v>
      </c>
      <c r="D539">
        <v>3690100</v>
      </c>
    </row>
    <row r="540" spans="1:4" x14ac:dyDescent="0.25">
      <c r="A540" s="1" t="s">
        <v>149</v>
      </c>
      <c r="B540" t="s">
        <v>5</v>
      </c>
      <c r="C540" t="s">
        <v>7</v>
      </c>
      <c r="D540">
        <v>39500</v>
      </c>
    </row>
    <row r="541" spans="1:4" x14ac:dyDescent="0.25">
      <c r="A541" s="1" t="s">
        <v>149</v>
      </c>
      <c r="B541" t="s">
        <v>5</v>
      </c>
      <c r="C541" t="s">
        <v>6</v>
      </c>
      <c r="D541">
        <v>151800</v>
      </c>
    </row>
    <row r="542" spans="1:4" x14ac:dyDescent="0.25">
      <c r="A542" s="1" t="s">
        <v>149</v>
      </c>
      <c r="B542" t="s">
        <v>18</v>
      </c>
      <c r="C542" t="s">
        <v>7</v>
      </c>
      <c r="D542">
        <v>2757700</v>
      </c>
    </row>
    <row r="543" spans="1:4" x14ac:dyDescent="0.25">
      <c r="A543" s="1" t="s">
        <v>149</v>
      </c>
      <c r="B543" t="s">
        <v>18</v>
      </c>
      <c r="C543" t="s">
        <v>6</v>
      </c>
      <c r="D543">
        <v>1112400</v>
      </c>
    </row>
    <row r="544" spans="1:4" x14ac:dyDescent="0.25">
      <c r="A544" s="1" t="s">
        <v>149</v>
      </c>
      <c r="B544" t="s">
        <v>114</v>
      </c>
      <c r="C544" t="s">
        <v>7</v>
      </c>
      <c r="D544">
        <v>449500</v>
      </c>
    </row>
    <row r="545" spans="1:4" x14ac:dyDescent="0.25">
      <c r="A545" s="1" t="s">
        <v>149</v>
      </c>
      <c r="B545" t="s">
        <v>114</v>
      </c>
      <c r="C545" t="s">
        <v>6</v>
      </c>
      <c r="D545">
        <v>3725700</v>
      </c>
    </row>
    <row r="546" spans="1:4" x14ac:dyDescent="0.25">
      <c r="A546" s="1" t="s">
        <v>150</v>
      </c>
      <c r="B546" t="s">
        <v>5</v>
      </c>
      <c r="C546" t="s">
        <v>7</v>
      </c>
      <c r="D546">
        <v>146300</v>
      </c>
    </row>
    <row r="547" spans="1:4" x14ac:dyDescent="0.25">
      <c r="A547" s="1" t="s">
        <v>150</v>
      </c>
      <c r="B547" t="s">
        <v>5</v>
      </c>
      <c r="C547" t="s">
        <v>6</v>
      </c>
      <c r="D547">
        <v>38800</v>
      </c>
    </row>
    <row r="548" spans="1:4" x14ac:dyDescent="0.25">
      <c r="A548" s="1" t="s">
        <v>150</v>
      </c>
      <c r="B548" t="s">
        <v>18</v>
      </c>
      <c r="C548" t="s">
        <v>7</v>
      </c>
      <c r="D548">
        <v>2741400</v>
      </c>
    </row>
    <row r="549" spans="1:4" x14ac:dyDescent="0.25">
      <c r="A549" s="1" t="s">
        <v>150</v>
      </c>
      <c r="B549" t="s">
        <v>18</v>
      </c>
      <c r="C549" t="s">
        <v>6</v>
      </c>
      <c r="D549">
        <v>1064900</v>
      </c>
    </row>
    <row r="550" spans="1:4" x14ac:dyDescent="0.25">
      <c r="A550" s="1" t="s">
        <v>150</v>
      </c>
      <c r="B550" t="s">
        <v>114</v>
      </c>
      <c r="C550" t="s">
        <v>7</v>
      </c>
      <c r="D550">
        <v>471200</v>
      </c>
    </row>
    <row r="551" spans="1:4" x14ac:dyDescent="0.25">
      <c r="A551" s="1" t="s">
        <v>150</v>
      </c>
      <c r="B551" t="s">
        <v>114</v>
      </c>
      <c r="C551" t="s">
        <v>6</v>
      </c>
      <c r="D551">
        <v>3770500</v>
      </c>
    </row>
    <row r="552" spans="1:4" x14ac:dyDescent="0.25">
      <c r="A552" s="1" t="s">
        <v>151</v>
      </c>
      <c r="B552" t="s">
        <v>5</v>
      </c>
      <c r="C552" t="s">
        <v>7</v>
      </c>
      <c r="D552">
        <v>141400</v>
      </c>
    </row>
    <row r="553" spans="1:4" x14ac:dyDescent="0.25">
      <c r="A553" s="1" t="s">
        <v>151</v>
      </c>
      <c r="B553" t="s">
        <v>5</v>
      </c>
      <c r="C553" t="s">
        <v>6</v>
      </c>
      <c r="D553">
        <v>36200</v>
      </c>
    </row>
    <row r="554" spans="1:4" x14ac:dyDescent="0.25">
      <c r="A554" s="1" t="s">
        <v>151</v>
      </c>
      <c r="B554" t="s">
        <v>18</v>
      </c>
      <c r="C554" t="s">
        <v>7</v>
      </c>
      <c r="D554">
        <v>2744100</v>
      </c>
    </row>
    <row r="555" spans="1:4" x14ac:dyDescent="0.25">
      <c r="A555" s="1" t="s">
        <v>151</v>
      </c>
      <c r="B555" t="s">
        <v>18</v>
      </c>
      <c r="C555" t="s">
        <v>6</v>
      </c>
      <c r="D555">
        <v>1041600</v>
      </c>
    </row>
    <row r="556" spans="1:4" x14ac:dyDescent="0.25">
      <c r="A556" s="1" t="s">
        <v>151</v>
      </c>
      <c r="B556" t="s">
        <v>114</v>
      </c>
      <c r="C556" t="s">
        <v>7</v>
      </c>
      <c r="D556">
        <v>476200</v>
      </c>
    </row>
    <row r="557" spans="1:4" x14ac:dyDescent="0.25">
      <c r="A557" s="1" t="s">
        <v>151</v>
      </c>
      <c r="B557" t="s">
        <v>114</v>
      </c>
      <c r="C557" t="s">
        <v>6</v>
      </c>
      <c r="D557">
        <v>3814400</v>
      </c>
    </row>
    <row r="558" spans="1:4" x14ac:dyDescent="0.25">
      <c r="A558" s="1" t="s">
        <v>152</v>
      </c>
      <c r="B558" t="s">
        <v>5</v>
      </c>
      <c r="C558" t="s">
        <v>7</v>
      </c>
      <c r="D558">
        <v>136800</v>
      </c>
    </row>
    <row r="559" spans="1:4" x14ac:dyDescent="0.25">
      <c r="A559" s="1" t="s">
        <v>152</v>
      </c>
      <c r="B559" t="s">
        <v>5</v>
      </c>
      <c r="C559" t="s">
        <v>6</v>
      </c>
      <c r="D559">
        <v>35300</v>
      </c>
    </row>
    <row r="560" spans="1:4" x14ac:dyDescent="0.25">
      <c r="A560" s="1" t="s">
        <v>152</v>
      </c>
      <c r="B560" t="s">
        <v>18</v>
      </c>
      <c r="C560" t="s">
        <v>7</v>
      </c>
      <c r="D560">
        <v>2732200</v>
      </c>
    </row>
    <row r="561" spans="1:4" x14ac:dyDescent="0.25">
      <c r="A561" s="1" t="s">
        <v>152</v>
      </c>
      <c r="B561" t="s">
        <v>18</v>
      </c>
      <c r="C561" t="s">
        <v>6</v>
      </c>
      <c r="D561">
        <v>992900</v>
      </c>
    </row>
    <row r="562" spans="1:4" x14ac:dyDescent="0.25">
      <c r="A562" s="1" t="s">
        <v>152</v>
      </c>
      <c r="B562" t="s">
        <v>114</v>
      </c>
      <c r="C562" t="s">
        <v>7</v>
      </c>
      <c r="D562">
        <v>511700</v>
      </c>
    </row>
    <row r="563" spans="1:4" x14ac:dyDescent="0.25">
      <c r="A563" s="1" t="s">
        <v>152</v>
      </c>
      <c r="B563" t="s">
        <v>114</v>
      </c>
      <c r="C563" t="s">
        <v>6</v>
      </c>
      <c r="D563">
        <v>3862100</v>
      </c>
    </row>
    <row r="564" spans="1:4" x14ac:dyDescent="0.25">
      <c r="A564" s="1" t="s">
        <v>153</v>
      </c>
      <c r="B564" t="s">
        <v>5</v>
      </c>
      <c r="C564" t="s">
        <v>7</v>
      </c>
      <c r="D564">
        <v>133000</v>
      </c>
    </row>
    <row r="565" spans="1:4" x14ac:dyDescent="0.25">
      <c r="A565" s="1" t="s">
        <v>153</v>
      </c>
      <c r="B565" t="s">
        <v>5</v>
      </c>
      <c r="C565" t="s">
        <v>6</v>
      </c>
      <c r="D565">
        <v>34700</v>
      </c>
    </row>
    <row r="566" spans="1:4" x14ac:dyDescent="0.25">
      <c r="A566" s="1" t="s">
        <v>153</v>
      </c>
      <c r="B566" t="s">
        <v>18</v>
      </c>
      <c r="C566" t="s">
        <v>7</v>
      </c>
      <c r="D566">
        <v>2727700</v>
      </c>
    </row>
    <row r="567" spans="1:4" x14ac:dyDescent="0.25">
      <c r="A567" s="1" t="s">
        <v>153</v>
      </c>
      <c r="B567" t="s">
        <v>18</v>
      </c>
      <c r="C567" t="s">
        <v>6</v>
      </c>
      <c r="D567">
        <v>970500</v>
      </c>
    </row>
    <row r="568" spans="1:4" x14ac:dyDescent="0.25">
      <c r="A568" s="1" t="s">
        <v>153</v>
      </c>
      <c r="B568" t="s">
        <v>114</v>
      </c>
      <c r="C568" t="s">
        <v>7</v>
      </c>
      <c r="D568">
        <v>541300</v>
      </c>
    </row>
    <row r="569" spans="1:4" x14ac:dyDescent="0.25">
      <c r="A569" s="1" t="s">
        <v>153</v>
      </c>
      <c r="B569" t="s">
        <v>114</v>
      </c>
      <c r="C569" t="s">
        <v>6</v>
      </c>
      <c r="D569">
        <v>3901000</v>
      </c>
    </row>
    <row r="570" spans="1:4" x14ac:dyDescent="0.25">
      <c r="A570" s="1" t="s">
        <v>154</v>
      </c>
      <c r="B570" t="s">
        <v>5</v>
      </c>
      <c r="C570" t="s">
        <v>7</v>
      </c>
      <c r="D570">
        <v>129800</v>
      </c>
    </row>
    <row r="571" spans="1:4" x14ac:dyDescent="0.25">
      <c r="A571" s="1" t="s">
        <v>154</v>
      </c>
      <c r="B571" t="s">
        <v>5</v>
      </c>
      <c r="C571" t="s">
        <v>6</v>
      </c>
      <c r="D571">
        <v>33800</v>
      </c>
    </row>
    <row r="572" spans="1:4" x14ac:dyDescent="0.25">
      <c r="A572" s="1" t="s">
        <v>154</v>
      </c>
      <c r="B572" t="s">
        <v>18</v>
      </c>
      <c r="C572" t="s">
        <v>7</v>
      </c>
      <c r="D572">
        <v>2751000</v>
      </c>
    </row>
    <row r="573" spans="1:4" x14ac:dyDescent="0.25">
      <c r="A573" s="1" t="s">
        <v>154</v>
      </c>
      <c r="B573" t="s">
        <v>18</v>
      </c>
      <c r="C573" t="s">
        <v>6</v>
      </c>
      <c r="D573">
        <v>953700</v>
      </c>
    </row>
    <row r="574" spans="1:4" x14ac:dyDescent="0.25">
      <c r="A574" s="1" t="s">
        <v>154</v>
      </c>
      <c r="B574" t="s">
        <v>114</v>
      </c>
      <c r="C574" t="s">
        <v>7</v>
      </c>
      <c r="D574">
        <v>549500</v>
      </c>
    </row>
    <row r="575" spans="1:4" x14ac:dyDescent="0.25">
      <c r="A575" s="1" t="s">
        <v>154</v>
      </c>
      <c r="B575" t="s">
        <v>114</v>
      </c>
      <c r="C575" t="s">
        <v>6</v>
      </c>
      <c r="D575">
        <v>3931400</v>
      </c>
    </row>
    <row r="576" spans="1:4" x14ac:dyDescent="0.25">
      <c r="A576" s="1" t="s">
        <v>155</v>
      </c>
      <c r="B576" t="s">
        <v>5</v>
      </c>
      <c r="C576" t="s">
        <v>7</v>
      </c>
      <c r="D576">
        <v>127200</v>
      </c>
    </row>
    <row r="577" spans="1:4" x14ac:dyDescent="0.25">
      <c r="A577" s="1" t="s">
        <v>155</v>
      </c>
      <c r="B577" t="s">
        <v>5</v>
      </c>
      <c r="C577" t="s">
        <v>6</v>
      </c>
      <c r="D577">
        <v>33200</v>
      </c>
    </row>
    <row r="578" spans="1:4" x14ac:dyDescent="0.25">
      <c r="A578" s="1" t="s">
        <v>155</v>
      </c>
      <c r="B578" t="s">
        <v>18</v>
      </c>
      <c r="C578" t="s">
        <v>7</v>
      </c>
      <c r="D578">
        <v>2706000</v>
      </c>
    </row>
    <row r="579" spans="1:4" x14ac:dyDescent="0.25">
      <c r="A579" s="1" t="s">
        <v>155</v>
      </c>
      <c r="B579" t="s">
        <v>18</v>
      </c>
      <c r="C579" t="s">
        <v>6</v>
      </c>
      <c r="D579">
        <v>928800</v>
      </c>
    </row>
    <row r="580" spans="1:4" x14ac:dyDescent="0.25">
      <c r="A580" s="1" t="s">
        <v>155</v>
      </c>
      <c r="B580" t="s">
        <v>114</v>
      </c>
      <c r="C580" t="s">
        <v>7</v>
      </c>
      <c r="D580">
        <v>600000</v>
      </c>
    </row>
    <row r="581" spans="1:4" x14ac:dyDescent="0.25">
      <c r="A581" s="1" t="s">
        <v>155</v>
      </c>
      <c r="B581" t="s">
        <v>114</v>
      </c>
      <c r="C581" t="s">
        <v>6</v>
      </c>
      <c r="D581">
        <v>3971400</v>
      </c>
    </row>
    <row r="582" spans="1:4" x14ac:dyDescent="0.25">
      <c r="A582" s="1" t="s">
        <v>156</v>
      </c>
      <c r="B582" t="s">
        <v>5</v>
      </c>
      <c r="C582" t="s">
        <v>7</v>
      </c>
      <c r="D582">
        <v>110600</v>
      </c>
    </row>
    <row r="583" spans="1:4" x14ac:dyDescent="0.25">
      <c r="A583" s="1" t="s">
        <v>156</v>
      </c>
      <c r="B583" t="s">
        <v>5</v>
      </c>
      <c r="C583" t="s">
        <v>6</v>
      </c>
      <c r="D583">
        <v>32700</v>
      </c>
    </row>
    <row r="584" spans="1:4" x14ac:dyDescent="0.25">
      <c r="A584" s="1" t="s">
        <v>156</v>
      </c>
      <c r="B584" t="s">
        <v>18</v>
      </c>
      <c r="C584" t="s">
        <v>7</v>
      </c>
      <c r="D584">
        <v>2712400</v>
      </c>
    </row>
    <row r="585" spans="1:4" x14ac:dyDescent="0.25">
      <c r="A585" s="1" t="s">
        <v>156</v>
      </c>
      <c r="B585" t="s">
        <v>18</v>
      </c>
      <c r="C585" t="s">
        <v>6</v>
      </c>
      <c r="D585">
        <v>908100</v>
      </c>
    </row>
    <row r="586" spans="1:4" x14ac:dyDescent="0.25">
      <c r="A586" s="1" t="s">
        <v>156</v>
      </c>
      <c r="B586" t="s">
        <v>114</v>
      </c>
      <c r="C586" t="s">
        <v>7</v>
      </c>
      <c r="D586">
        <v>614200</v>
      </c>
    </row>
    <row r="587" spans="1:4" x14ac:dyDescent="0.25">
      <c r="A587" s="1" t="s">
        <v>156</v>
      </c>
      <c r="B587" t="s">
        <v>114</v>
      </c>
      <c r="C587" t="s">
        <v>6</v>
      </c>
      <c r="D587">
        <v>3996000</v>
      </c>
    </row>
    <row r="588" spans="1:4" x14ac:dyDescent="0.25">
      <c r="A588" s="1" t="s">
        <v>157</v>
      </c>
      <c r="B588" t="s">
        <v>5</v>
      </c>
      <c r="C588" t="s">
        <v>7</v>
      </c>
      <c r="D588">
        <v>107600</v>
      </c>
    </row>
    <row r="589" spans="1:4" x14ac:dyDescent="0.25">
      <c r="A589" s="1" t="s">
        <v>157</v>
      </c>
      <c r="B589" t="s">
        <v>5</v>
      </c>
      <c r="C589" t="s">
        <v>6</v>
      </c>
      <c r="D589">
        <v>32200</v>
      </c>
    </row>
    <row r="590" spans="1:4" x14ac:dyDescent="0.25">
      <c r="A590" s="1" t="s">
        <v>157</v>
      </c>
      <c r="B590" t="s">
        <v>18</v>
      </c>
      <c r="C590" t="s">
        <v>7</v>
      </c>
      <c r="D590">
        <v>2676400</v>
      </c>
    </row>
    <row r="591" spans="1:4" x14ac:dyDescent="0.25">
      <c r="A591" s="1" t="s">
        <v>157</v>
      </c>
      <c r="B591" t="s">
        <v>18</v>
      </c>
      <c r="C591" t="s">
        <v>6</v>
      </c>
      <c r="D591">
        <v>890800</v>
      </c>
    </row>
    <row r="592" spans="1:4" x14ac:dyDescent="0.25">
      <c r="A592" s="1" t="s">
        <v>157</v>
      </c>
      <c r="B592" t="s">
        <v>114</v>
      </c>
      <c r="C592" t="s">
        <v>7</v>
      </c>
      <c r="D592">
        <v>631400</v>
      </c>
    </row>
    <row r="593" spans="1:4" x14ac:dyDescent="0.25">
      <c r="A593" s="1" t="s">
        <v>157</v>
      </c>
      <c r="B593" t="s">
        <v>114</v>
      </c>
      <c r="C593" t="s">
        <v>6</v>
      </c>
      <c r="D593">
        <v>4024000</v>
      </c>
    </row>
    <row r="594" spans="1:4" x14ac:dyDescent="0.25">
      <c r="A594" s="1" t="s">
        <v>158</v>
      </c>
      <c r="B594" t="s">
        <v>5</v>
      </c>
      <c r="C594" t="s">
        <v>7</v>
      </c>
      <c r="D594">
        <v>104700</v>
      </c>
    </row>
    <row r="595" spans="1:4" x14ac:dyDescent="0.25">
      <c r="A595" s="1" t="s">
        <v>158</v>
      </c>
      <c r="B595" t="s">
        <v>5</v>
      </c>
      <c r="C595" t="s">
        <v>6</v>
      </c>
      <c r="D595">
        <v>31600</v>
      </c>
    </row>
    <row r="596" spans="1:4" x14ac:dyDescent="0.25">
      <c r="A596" s="1" t="s">
        <v>158</v>
      </c>
      <c r="B596" t="s">
        <v>18</v>
      </c>
      <c r="C596" t="s">
        <v>7</v>
      </c>
      <c r="D596">
        <v>2665200</v>
      </c>
    </row>
    <row r="597" spans="1:4" x14ac:dyDescent="0.25">
      <c r="A597" s="1" t="s">
        <v>158</v>
      </c>
      <c r="B597" t="s">
        <v>18</v>
      </c>
      <c r="C597" t="s">
        <v>6</v>
      </c>
      <c r="D597">
        <v>875300</v>
      </c>
    </row>
    <row r="598" spans="1:4" x14ac:dyDescent="0.25">
      <c r="A598" s="1" t="s">
        <v>158</v>
      </c>
      <c r="B598" t="s">
        <v>114</v>
      </c>
      <c r="C598" t="s">
        <v>7</v>
      </c>
      <c r="D598">
        <v>639000</v>
      </c>
    </row>
    <row r="599" spans="1:4" x14ac:dyDescent="0.25">
      <c r="A599" s="1" t="s">
        <v>158</v>
      </c>
      <c r="B599" t="s">
        <v>114</v>
      </c>
      <c r="C599" t="s">
        <v>6</v>
      </c>
      <c r="D599">
        <v>4050900</v>
      </c>
    </row>
    <row r="600" spans="1:4" x14ac:dyDescent="0.25">
      <c r="A600" s="1" t="s">
        <v>159</v>
      </c>
      <c r="B600" t="s">
        <v>5</v>
      </c>
      <c r="C600" t="s">
        <v>7</v>
      </c>
      <c r="D600">
        <v>101400</v>
      </c>
    </row>
    <row r="601" spans="1:4" x14ac:dyDescent="0.25">
      <c r="A601" s="1" t="s">
        <v>159</v>
      </c>
      <c r="B601" t="s">
        <v>5</v>
      </c>
      <c r="C601" t="s">
        <v>6</v>
      </c>
      <c r="D601">
        <v>30900</v>
      </c>
    </row>
    <row r="602" spans="1:4" x14ac:dyDescent="0.25">
      <c r="A602" s="1" t="s">
        <v>159</v>
      </c>
      <c r="B602" t="s">
        <v>18</v>
      </c>
      <c r="C602" t="s">
        <v>7</v>
      </c>
      <c r="D602">
        <v>2556400</v>
      </c>
    </row>
    <row r="603" spans="1:4" x14ac:dyDescent="0.25">
      <c r="A603" s="1" t="s">
        <v>159</v>
      </c>
      <c r="B603" t="s">
        <v>18</v>
      </c>
      <c r="C603" t="s">
        <v>6</v>
      </c>
      <c r="D603">
        <v>855700</v>
      </c>
    </row>
    <row r="604" spans="1:4" x14ac:dyDescent="0.25">
      <c r="A604" s="1" t="s">
        <v>159</v>
      </c>
      <c r="B604" t="s">
        <v>114</v>
      </c>
      <c r="C604" t="s">
        <v>7</v>
      </c>
      <c r="D604">
        <v>770100</v>
      </c>
    </row>
    <row r="605" spans="1:4" x14ac:dyDescent="0.25">
      <c r="A605" s="1" t="s">
        <v>159</v>
      </c>
      <c r="B605" t="s">
        <v>114</v>
      </c>
      <c r="C605" t="s">
        <v>6</v>
      </c>
      <c r="D605">
        <v>4085100</v>
      </c>
    </row>
    <row r="606" spans="1:4" x14ac:dyDescent="0.25">
      <c r="A606" s="1" t="s">
        <v>160</v>
      </c>
      <c r="B606" t="s">
        <v>5</v>
      </c>
      <c r="C606" t="s">
        <v>7</v>
      </c>
      <c r="D606">
        <v>30300</v>
      </c>
    </row>
    <row r="607" spans="1:4" x14ac:dyDescent="0.25">
      <c r="A607" s="1" t="s">
        <v>160</v>
      </c>
      <c r="B607" t="s">
        <v>5</v>
      </c>
      <c r="C607" t="s">
        <v>6</v>
      </c>
      <c r="D607">
        <v>98700</v>
      </c>
    </row>
    <row r="608" spans="1:4" x14ac:dyDescent="0.25">
      <c r="A608" s="1" t="s">
        <v>160</v>
      </c>
      <c r="B608" t="s">
        <v>18</v>
      </c>
      <c r="C608" t="s">
        <v>7</v>
      </c>
      <c r="D608">
        <v>817000</v>
      </c>
    </row>
    <row r="609" spans="1:4" x14ac:dyDescent="0.25">
      <c r="A609" s="1" t="s">
        <v>160</v>
      </c>
      <c r="B609" t="s">
        <v>18</v>
      </c>
      <c r="C609" t="s">
        <v>6</v>
      </c>
      <c r="D609">
        <v>1828500</v>
      </c>
    </row>
    <row r="610" spans="1:4" x14ac:dyDescent="0.25">
      <c r="A610" s="1" t="s">
        <v>160</v>
      </c>
      <c r="B610" t="s">
        <v>114</v>
      </c>
      <c r="C610" t="s">
        <v>7</v>
      </c>
      <c r="D610">
        <v>4140400</v>
      </c>
    </row>
    <row r="611" spans="1:4" x14ac:dyDescent="0.25">
      <c r="A611" s="1" t="s">
        <v>160</v>
      </c>
      <c r="B611" t="s">
        <v>114</v>
      </c>
      <c r="C611" t="s">
        <v>6</v>
      </c>
      <c r="D611">
        <v>1484900</v>
      </c>
    </row>
    <row r="612" spans="1:4" x14ac:dyDescent="0.25">
      <c r="A612" s="1" t="s">
        <v>161</v>
      </c>
      <c r="B612" t="s">
        <v>5</v>
      </c>
      <c r="C612" t="s">
        <v>7</v>
      </c>
      <c r="D612">
        <v>29400</v>
      </c>
    </row>
    <row r="613" spans="1:4" x14ac:dyDescent="0.25">
      <c r="A613" s="1" t="s">
        <v>161</v>
      </c>
      <c r="B613" t="s">
        <v>5</v>
      </c>
      <c r="C613" t="s">
        <v>6</v>
      </c>
      <c r="D613">
        <v>95800</v>
      </c>
    </row>
    <row r="614" spans="1:4" x14ac:dyDescent="0.25">
      <c r="A614" s="1" t="s">
        <v>161</v>
      </c>
      <c r="B614" t="s">
        <v>18</v>
      </c>
      <c r="C614" t="s">
        <v>7</v>
      </c>
      <c r="D614">
        <v>806700</v>
      </c>
    </row>
    <row r="615" spans="1:4" x14ac:dyDescent="0.25">
      <c r="A615" s="1" t="s">
        <v>161</v>
      </c>
      <c r="B615" t="s">
        <v>18</v>
      </c>
      <c r="C615" t="s">
        <v>6</v>
      </c>
      <c r="D615">
        <v>1748200</v>
      </c>
    </row>
    <row r="616" spans="1:4" x14ac:dyDescent="0.25">
      <c r="A616" s="1" t="s">
        <v>161</v>
      </c>
      <c r="B616" t="s">
        <v>114</v>
      </c>
      <c r="C616" t="s">
        <v>7</v>
      </c>
      <c r="D616">
        <v>4163400</v>
      </c>
    </row>
    <row r="617" spans="1:4" x14ac:dyDescent="0.25">
      <c r="A617" s="1" t="s">
        <v>161</v>
      </c>
      <c r="B617" t="s">
        <v>114</v>
      </c>
      <c r="C617" t="s">
        <v>6</v>
      </c>
      <c r="D617">
        <v>1561300</v>
      </c>
    </row>
    <row r="618" spans="1:4" x14ac:dyDescent="0.25">
      <c r="A618" s="1" t="s">
        <v>162</v>
      </c>
      <c r="B618" t="s">
        <v>5</v>
      </c>
      <c r="C618" t="s">
        <v>7</v>
      </c>
      <c r="D618">
        <v>25000</v>
      </c>
    </row>
    <row r="619" spans="1:4" x14ac:dyDescent="0.25">
      <c r="A619" s="1" t="s">
        <v>162</v>
      </c>
      <c r="B619" t="s">
        <v>5</v>
      </c>
      <c r="C619" t="s">
        <v>6</v>
      </c>
      <c r="D619">
        <v>89700</v>
      </c>
    </row>
    <row r="620" spans="1:4" x14ac:dyDescent="0.25">
      <c r="A620" s="1" t="s">
        <v>162</v>
      </c>
      <c r="B620" t="s">
        <v>18</v>
      </c>
      <c r="C620" t="s">
        <v>7</v>
      </c>
      <c r="D620">
        <v>794400</v>
      </c>
    </row>
    <row r="621" spans="1:4" x14ac:dyDescent="0.25">
      <c r="A621" s="1" t="s">
        <v>162</v>
      </c>
      <c r="B621" t="s">
        <v>18</v>
      </c>
      <c r="C621" t="s">
        <v>6</v>
      </c>
      <c r="D621">
        <v>1718600</v>
      </c>
    </row>
    <row r="622" spans="1:4" x14ac:dyDescent="0.25">
      <c r="A622" s="1" t="s">
        <v>162</v>
      </c>
      <c r="B622" t="s">
        <v>114</v>
      </c>
      <c r="C622" t="s">
        <v>7</v>
      </c>
      <c r="D622">
        <v>4225800</v>
      </c>
    </row>
    <row r="623" spans="1:4" x14ac:dyDescent="0.25">
      <c r="A623" s="1" t="s">
        <v>162</v>
      </c>
      <c r="B623" t="s">
        <v>114</v>
      </c>
      <c r="C623" t="s">
        <v>6</v>
      </c>
      <c r="D623">
        <v>1607100</v>
      </c>
    </row>
    <row r="624" spans="1:4" x14ac:dyDescent="0.25">
      <c r="A624" s="1" t="s">
        <v>163</v>
      </c>
      <c r="B624" t="s">
        <v>5</v>
      </c>
      <c r="C624" t="s">
        <v>7</v>
      </c>
      <c r="D624">
        <v>0</v>
      </c>
    </row>
    <row r="625" spans="1:4" x14ac:dyDescent="0.25">
      <c r="A625" s="1" t="s">
        <v>163</v>
      </c>
      <c r="B625" t="s">
        <v>5</v>
      </c>
      <c r="C625" t="s">
        <v>6</v>
      </c>
      <c r="D625">
        <v>0</v>
      </c>
    </row>
    <row r="626" spans="1:4" x14ac:dyDescent="0.25">
      <c r="A626" s="1" t="s">
        <v>163</v>
      </c>
      <c r="B626" t="s">
        <v>18</v>
      </c>
      <c r="C626" t="s">
        <v>7</v>
      </c>
      <c r="D626">
        <v>805000</v>
      </c>
    </row>
    <row r="627" spans="1:4" x14ac:dyDescent="0.25">
      <c r="A627" s="1" t="s">
        <v>163</v>
      </c>
      <c r="B627" t="s">
        <v>18</v>
      </c>
      <c r="C627" t="s">
        <v>6</v>
      </c>
      <c r="D627">
        <v>1760900</v>
      </c>
    </row>
    <row r="628" spans="1:4" x14ac:dyDescent="0.25">
      <c r="A628" s="1" t="s">
        <v>163</v>
      </c>
      <c r="B628" t="s">
        <v>114</v>
      </c>
      <c r="C628" t="s">
        <v>7</v>
      </c>
      <c r="D628">
        <v>4260100</v>
      </c>
    </row>
    <row r="629" spans="1:4" x14ac:dyDescent="0.25">
      <c r="A629" s="1" t="s">
        <v>163</v>
      </c>
      <c r="B629" t="s">
        <v>114</v>
      </c>
      <c r="C629" t="s">
        <v>6</v>
      </c>
      <c r="D629">
        <v>1642400</v>
      </c>
    </row>
    <row r="630" spans="1:4" x14ac:dyDescent="0.25">
      <c r="A630" s="1" t="s">
        <v>164</v>
      </c>
      <c r="B630" t="s">
        <v>5</v>
      </c>
      <c r="C630" t="s">
        <v>7</v>
      </c>
      <c r="D630">
        <v>0</v>
      </c>
    </row>
    <row r="631" spans="1:4" x14ac:dyDescent="0.25">
      <c r="A631" s="1" t="s">
        <v>164</v>
      </c>
      <c r="B631" t="s">
        <v>5</v>
      </c>
      <c r="C631" t="s">
        <v>6</v>
      </c>
      <c r="D631">
        <v>0</v>
      </c>
    </row>
    <row r="632" spans="1:4" x14ac:dyDescent="0.25">
      <c r="A632" s="1" t="s">
        <v>164</v>
      </c>
      <c r="B632" t="s">
        <v>18</v>
      </c>
      <c r="C632" t="s">
        <v>7</v>
      </c>
      <c r="D632">
        <v>787900</v>
      </c>
    </row>
    <row r="633" spans="1:4" x14ac:dyDescent="0.25">
      <c r="A633" s="1" t="s">
        <v>164</v>
      </c>
      <c r="B633" t="s">
        <v>18</v>
      </c>
      <c r="C633" t="s">
        <v>6</v>
      </c>
      <c r="D633">
        <v>1730500</v>
      </c>
    </row>
    <row r="634" spans="1:4" x14ac:dyDescent="0.25">
      <c r="A634" s="1" t="s">
        <v>164</v>
      </c>
      <c r="B634" t="s">
        <v>114</v>
      </c>
      <c r="C634" t="s">
        <v>7</v>
      </c>
      <c r="D634">
        <v>4275400</v>
      </c>
    </row>
    <row r="635" spans="1:4" x14ac:dyDescent="0.25">
      <c r="A635" s="1" t="s">
        <v>164</v>
      </c>
      <c r="B635" t="s">
        <v>114</v>
      </c>
      <c r="C635" t="s">
        <v>6</v>
      </c>
      <c r="D635">
        <v>1667600</v>
      </c>
    </row>
    <row r="636" spans="1:4" x14ac:dyDescent="0.25">
      <c r="A636" s="1" t="s">
        <v>165</v>
      </c>
      <c r="B636" t="s">
        <v>5</v>
      </c>
      <c r="C636" t="s">
        <v>7</v>
      </c>
      <c r="D636">
        <v>0</v>
      </c>
    </row>
    <row r="637" spans="1:4" x14ac:dyDescent="0.25">
      <c r="A637" s="1" t="s">
        <v>165</v>
      </c>
      <c r="B637" t="s">
        <v>5</v>
      </c>
      <c r="C637" t="s">
        <v>6</v>
      </c>
      <c r="D637">
        <v>0</v>
      </c>
    </row>
    <row r="638" spans="1:4" x14ac:dyDescent="0.25">
      <c r="A638" s="1" t="s">
        <v>165</v>
      </c>
      <c r="B638" t="s">
        <v>18</v>
      </c>
      <c r="C638" t="s">
        <v>7</v>
      </c>
      <c r="D638">
        <v>771200</v>
      </c>
    </row>
    <row r="639" spans="1:4" x14ac:dyDescent="0.25">
      <c r="A639" s="1" t="s">
        <v>165</v>
      </c>
      <c r="B639" t="s">
        <v>18</v>
      </c>
      <c r="C639" t="s">
        <v>6</v>
      </c>
      <c r="D639">
        <v>1718500</v>
      </c>
    </row>
    <row r="640" spans="1:4" x14ac:dyDescent="0.25">
      <c r="A640" s="1" t="s">
        <v>165</v>
      </c>
      <c r="B640" t="s">
        <v>114</v>
      </c>
      <c r="C640" t="s">
        <v>7</v>
      </c>
      <c r="D640">
        <v>4298400</v>
      </c>
    </row>
    <row r="641" spans="1:4" x14ac:dyDescent="0.25">
      <c r="A641" s="1" t="s">
        <v>165</v>
      </c>
      <c r="B641" t="s">
        <v>114</v>
      </c>
      <c r="C641" t="s">
        <v>6</v>
      </c>
      <c r="D641">
        <v>1676400</v>
      </c>
    </row>
    <row r="642" spans="1:4" x14ac:dyDescent="0.25">
      <c r="A642" s="1" t="s">
        <v>166</v>
      </c>
      <c r="B642" t="s">
        <v>5</v>
      </c>
      <c r="C642" t="s">
        <v>7</v>
      </c>
      <c r="D642">
        <v>0</v>
      </c>
    </row>
    <row r="643" spans="1:4" x14ac:dyDescent="0.25">
      <c r="A643" s="1" t="s">
        <v>166</v>
      </c>
      <c r="B643" t="s">
        <v>5</v>
      </c>
      <c r="C643" t="s">
        <v>6</v>
      </c>
      <c r="D643">
        <v>0</v>
      </c>
    </row>
    <row r="644" spans="1:4" x14ac:dyDescent="0.25">
      <c r="A644" s="1" t="s">
        <v>166</v>
      </c>
      <c r="B644" t="s">
        <v>18</v>
      </c>
      <c r="C644" t="s">
        <v>7</v>
      </c>
      <c r="D644">
        <v>760700</v>
      </c>
    </row>
    <row r="645" spans="1:4" x14ac:dyDescent="0.25">
      <c r="A645" s="1" t="s">
        <v>166</v>
      </c>
      <c r="B645" t="s">
        <v>18</v>
      </c>
      <c r="C645" t="s">
        <v>6</v>
      </c>
      <c r="D645">
        <v>1703000</v>
      </c>
    </row>
    <row r="646" spans="1:4" x14ac:dyDescent="0.25">
      <c r="A646" s="1" t="s">
        <v>166</v>
      </c>
      <c r="B646" t="s">
        <v>114</v>
      </c>
      <c r="C646" t="s">
        <v>7</v>
      </c>
      <c r="D646">
        <v>4329100</v>
      </c>
    </row>
    <row r="647" spans="1:4" x14ac:dyDescent="0.25">
      <c r="A647" s="1" t="s">
        <v>166</v>
      </c>
      <c r="B647" t="s">
        <v>114</v>
      </c>
      <c r="C647" t="s">
        <v>6</v>
      </c>
      <c r="D647">
        <v>1690000</v>
      </c>
    </row>
    <row r="648" spans="1:4" x14ac:dyDescent="0.25">
      <c r="A648" s="1" t="s">
        <v>167</v>
      </c>
      <c r="B648" t="s">
        <v>5</v>
      </c>
      <c r="C648" t="s">
        <v>7</v>
      </c>
      <c r="D648">
        <v>0</v>
      </c>
    </row>
    <row r="649" spans="1:4" x14ac:dyDescent="0.25">
      <c r="A649" s="1" t="s">
        <v>167</v>
      </c>
      <c r="B649" t="s">
        <v>5</v>
      </c>
      <c r="C649" t="s">
        <v>6</v>
      </c>
      <c r="D649">
        <v>0</v>
      </c>
    </row>
    <row r="650" spans="1:4" x14ac:dyDescent="0.25">
      <c r="A650" s="1" t="s">
        <v>167</v>
      </c>
      <c r="B650" t="s">
        <v>18</v>
      </c>
      <c r="C650" t="s">
        <v>7</v>
      </c>
      <c r="D650">
        <v>702100</v>
      </c>
    </row>
    <row r="651" spans="1:4" x14ac:dyDescent="0.25">
      <c r="A651" s="1" t="s">
        <v>167</v>
      </c>
      <c r="B651" t="s">
        <v>18</v>
      </c>
      <c r="C651" t="s">
        <v>6</v>
      </c>
      <c r="D651">
        <v>1690000</v>
      </c>
    </row>
    <row r="652" spans="1:4" x14ac:dyDescent="0.25">
      <c r="A652" s="1" t="s">
        <v>167</v>
      </c>
      <c r="B652" t="s">
        <v>114</v>
      </c>
      <c r="C652" t="s">
        <v>7</v>
      </c>
      <c r="D652">
        <v>4366200</v>
      </c>
    </row>
    <row r="653" spans="1:4" x14ac:dyDescent="0.25">
      <c r="A653" s="1" t="s">
        <v>167</v>
      </c>
      <c r="B653" t="s">
        <v>114</v>
      </c>
      <c r="C653" t="s">
        <v>6</v>
      </c>
      <c r="D653">
        <v>1642500</v>
      </c>
    </row>
    <row r="654" spans="1:4" x14ac:dyDescent="0.25">
      <c r="A654" s="1" t="s">
        <v>168</v>
      </c>
      <c r="B654" t="s">
        <v>5</v>
      </c>
      <c r="C654" t="s">
        <v>7</v>
      </c>
      <c r="D654">
        <v>0</v>
      </c>
    </row>
    <row r="655" spans="1:4" x14ac:dyDescent="0.25">
      <c r="A655" s="1" t="s">
        <v>168</v>
      </c>
      <c r="B655" t="s">
        <v>5</v>
      </c>
      <c r="C655" t="s">
        <v>6</v>
      </c>
      <c r="D655">
        <v>0</v>
      </c>
    </row>
    <row r="656" spans="1:4" x14ac:dyDescent="0.25">
      <c r="A656" s="1" t="s">
        <v>168</v>
      </c>
      <c r="B656" t="s">
        <v>18</v>
      </c>
      <c r="C656" t="s">
        <v>7</v>
      </c>
      <c r="D656">
        <v>686000</v>
      </c>
    </row>
    <row r="657" spans="1:4" x14ac:dyDescent="0.25">
      <c r="A657" s="1" t="s">
        <v>168</v>
      </c>
      <c r="B657" t="s">
        <v>18</v>
      </c>
      <c r="C657" t="s">
        <v>6</v>
      </c>
      <c r="D657">
        <v>1679800</v>
      </c>
    </row>
    <row r="658" spans="1:4" x14ac:dyDescent="0.25">
      <c r="A658" s="1" t="s">
        <v>168</v>
      </c>
      <c r="B658" t="s">
        <v>114</v>
      </c>
      <c r="C658" t="s">
        <v>7</v>
      </c>
      <c r="D658">
        <v>4377700</v>
      </c>
    </row>
    <row r="659" spans="1:4" x14ac:dyDescent="0.25">
      <c r="A659" s="1" t="s">
        <v>168</v>
      </c>
      <c r="B659" t="s">
        <v>114</v>
      </c>
      <c r="C659" t="s">
        <v>6</v>
      </c>
      <c r="D659">
        <v>1629400</v>
      </c>
    </row>
    <row r="660" spans="1:4" x14ac:dyDescent="0.25">
      <c r="A660" s="1" t="s">
        <v>169</v>
      </c>
      <c r="B660" t="s">
        <v>5</v>
      </c>
      <c r="C660" t="s">
        <v>7</v>
      </c>
      <c r="D660">
        <v>0</v>
      </c>
    </row>
    <row r="661" spans="1:4" x14ac:dyDescent="0.25">
      <c r="A661" s="1" t="s">
        <v>169</v>
      </c>
      <c r="B661" t="s">
        <v>5</v>
      </c>
      <c r="C661" t="s">
        <v>6</v>
      </c>
      <c r="D661">
        <v>0</v>
      </c>
    </row>
    <row r="662" spans="1:4" x14ac:dyDescent="0.25">
      <c r="A662" s="1" t="s">
        <v>169</v>
      </c>
      <c r="B662" t="s">
        <v>18</v>
      </c>
      <c r="C662" t="s">
        <v>7</v>
      </c>
      <c r="D662">
        <v>671000</v>
      </c>
    </row>
    <row r="663" spans="1:4" x14ac:dyDescent="0.25">
      <c r="A663" s="1" t="s">
        <v>169</v>
      </c>
      <c r="B663" t="s">
        <v>18</v>
      </c>
      <c r="C663" t="s">
        <v>6</v>
      </c>
      <c r="D663">
        <v>1678100</v>
      </c>
    </row>
    <row r="664" spans="1:4" x14ac:dyDescent="0.25">
      <c r="A664" s="1" t="s">
        <v>169</v>
      </c>
      <c r="B664" t="s">
        <v>114</v>
      </c>
      <c r="C664" t="s">
        <v>7</v>
      </c>
      <c r="D664">
        <v>4403500</v>
      </c>
    </row>
    <row r="665" spans="1:4" x14ac:dyDescent="0.25">
      <c r="A665" s="1" t="s">
        <v>169</v>
      </c>
      <c r="B665" t="s">
        <v>114</v>
      </c>
      <c r="C665" t="s">
        <v>6</v>
      </c>
      <c r="D665">
        <v>1600500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9F8E5A-268D-4D0F-A64C-89C9225DC3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Dashboard</vt:lpstr>
      <vt:lpstr>Analisis</vt:lpstr>
      <vt:lpstr>Data_Transformada</vt:lpstr>
      <vt:lpstr>Raw data</vt:lpstr>
      <vt:lpstr>_2G</vt:lpstr>
      <vt:lpstr>_3G</vt:lpstr>
      <vt:lpstr>_4G</vt:lpstr>
      <vt:lpstr>G2_</vt:lpstr>
      <vt:lpstr>G3_</vt:lpstr>
      <vt:lpstr>G4_</vt:lpstr>
      <vt:lpstr>Total_Sub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James Martín Pozo Carrera</cp:lastModifiedBy>
  <dcterms:created xsi:type="dcterms:W3CDTF">2021-12-28T10:54:09Z</dcterms:created>
  <dcterms:modified xsi:type="dcterms:W3CDTF">2024-06-10T16:38:08Z</dcterms:modified>
</cp:coreProperties>
</file>